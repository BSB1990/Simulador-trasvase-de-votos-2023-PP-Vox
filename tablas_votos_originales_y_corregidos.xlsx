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rob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<sst xmlns="http://schemas.openxmlformats.org/spreadsheetml/2006/main" count="76" uniqueCount="27">
  <si>
    <t xml:space="preserve">TABLA 1 · Datos originales (votos y diputados de los partidos con escaño)</t>
  </si>
  <si>
    <t xml:space="preserve">TABLA 2 · Votos tras el trasvase mínimo Vox → PP (diputados recalculados con d'Hondt)</t>
  </si>
  <si>
    <t xml:space="preserve">Circunscripción</t>
  </si>
  <si>
    <t xml:space="preserve">PP</t>
  </si>
  <si>
    <t xml:space="preserve">PSOE</t>
  </si>
  <si>
    <t xml:space="preserve">VOX</t>
  </si>
  <si>
    <t xml:space="preserve">SUMAR</t>
  </si>
  <si>
    <t xml:space="preserve">ERC</t>
  </si>
  <si>
    <t xml:space="preserve">JxCAT-JUNTS</t>
  </si>
  <si>
    <t xml:space="preserve">Votos transferidos Vox→PP</t>
  </si>
  <si>
    <t xml:space="preserve">Escaño que pierde</t>
  </si>
  <si>
    <t xml:space="preserve">Votos</t>
  </si>
  <si>
    <t xml:space="preserve">Diputados</t>
  </si>
  <si>
    <t xml:space="preserve">Sevilla</t>
  </si>
  <si>
    <t xml:space="preserve">Illes Balears</t>
  </si>
  <si>
    <t xml:space="preserve">Albacete</t>
  </si>
  <si>
    <t xml:space="preserve">Burgos</t>
  </si>
  <si>
    <t xml:space="preserve">Girona</t>
  </si>
  <si>
    <t xml:space="preserve">Lleida</t>
  </si>
  <si>
    <t xml:space="preserve">Tarragona</t>
  </si>
  <si>
    <t xml:space="preserve">Pontevedra</t>
  </si>
  <si>
    <t xml:space="preserve">Murcia</t>
  </si>
  <si>
    <t xml:space="preserve">La Rioja</t>
  </si>
  <si>
    <t xml:space="preserve">Notas:</t>
  </si>
  <si>
    <t xml:space="preserve">· Solo se muestran los partidos que obtuvieron escaño en cada circunscripción, más PP y Vox (que intervienen en el trasvase aunque no tengan escaños). Las celdas vacías son partidos sin escaño ahí.</t>
  </si>
  <si>
    <t xml:space="preserve">· Los votos de la Tabla 2 son fórmulas: PP' = PP + x; Vox' = Vox − x; el resto de partidos no cambia. Los diputados de la Tabla 2 son el resultado de aplicar d'Hondt (desempate por votos totales).</t>
  </si>
  <si>
    <t xml:space="preserve">· Amarillo: votos modificados. Verde: escaño ganado. Rojo: escaño perdido.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</si>
</sst>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3F00"/>
        <bgColor rgb="FF993366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BBBBBB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1"/>
    <col collapsed="false" customWidth="true" hidden="false" outlineLevel="0" max="14" min="14" style="0" width="3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28" min="17" style="0" width="11"/>
    <col collapsed="false" customWidth="true" hidden="false" outlineLevel="0" max="29" min="29" style="0" width="18"/>
  </cols>
  <sheetData>
    <row r="1" customFormat="false" ht="15" hidden="false" customHeight="false" outlineLevel="0" collapsed="false">
      <c r="A1" s="1" t="s">
        <v>0</v>
      </c>
      <c r="O1" s="1" t="s">
        <v>1</v>
      </c>
    </row>
    <row r="3" customFormat="false" ht="31.5" hidden="false" customHeight="true" outlineLevel="0" collapsed="false">
      <c r="A3" s="2" t="s">
        <v>2</v>
      </c>
      <c r="B3" s="2" t="s">
        <v>3</v>
      </c>
      <c r="C3" s="2"/>
      <c r="D3" s="2" t="s">
        <v>4</v>
      </c>
      <c r="E3" s="2"/>
      <c r="F3" s="2" t="s">
        <v>5</v>
      </c>
      <c r="G3" s="2"/>
      <c r="H3" s="2" t="s">
        <v>6</v>
      </c>
      <c r="I3" s="2"/>
      <c r="J3" s="2" t="s">
        <v>7</v>
      </c>
      <c r="K3" s="2"/>
      <c r="L3" s="2" t="s">
        <v>8</v>
      </c>
      <c r="M3" s="2"/>
      <c r="O3" s="3" t="s">
        <v>2</v>
      </c>
      <c r="P3" s="3" t="s">
        <v>9</v>
      </c>
      <c r="Q3" s="3" t="s">
        <v>3</v>
      </c>
      <c r="R3" s="3"/>
      <c r="S3" s="3" t="s">
        <v>4</v>
      </c>
      <c r="T3" s="3"/>
      <c r="U3" s="3" t="s">
        <v>5</v>
      </c>
      <c r="V3" s="3"/>
      <c r="W3" s="3" t="s">
        <v>6</v>
      </c>
      <c r="X3" s="3"/>
      <c r="Y3" s="3" t="s">
        <v>7</v>
      </c>
      <c r="Z3" s="3"/>
      <c r="AA3" s="3" t="s">
        <v>8</v>
      </c>
      <c r="AB3" s="3"/>
      <c r="AC3" s="3" t="s">
        <v>10</v>
      </c>
    </row>
    <row r="4" customFormat="false" ht="15" hidden="false" customHeight="false" outlineLevel="0" collapsed="false">
      <c r="A4" s="2"/>
      <c r="B4" s="2" t="s">
        <v>11</v>
      </c>
      <c r="C4" s="2" t="s">
        <v>12</v>
      </c>
      <c r="D4" s="2" t="s">
        <v>11</v>
      </c>
      <c r="E4" s="2" t="s">
        <v>12</v>
      </c>
      <c r="F4" s="2" t="s">
        <v>11</v>
      </c>
      <c r="G4" s="2" t="s">
        <v>12</v>
      </c>
      <c r="H4" s="2" t="s">
        <v>11</v>
      </c>
      <c r="I4" s="2" t="s">
        <v>12</v>
      </c>
      <c r="J4" s="2" t="s">
        <v>11</v>
      </c>
      <c r="K4" s="2" t="s">
        <v>12</v>
      </c>
      <c r="L4" s="2" t="s">
        <v>11</v>
      </c>
      <c r="M4" s="2" t="s">
        <v>12</v>
      </c>
      <c r="O4" s="3"/>
      <c r="P4" s="3"/>
      <c r="Q4" s="3" t="s">
        <v>11</v>
      </c>
      <c r="R4" s="3" t="s">
        <v>12</v>
      </c>
      <c r="S4" s="3" t="s">
        <v>11</v>
      </c>
      <c r="T4" s="3" t="s">
        <v>12</v>
      </c>
      <c r="U4" s="3" t="s">
        <v>11</v>
      </c>
      <c r="V4" s="3" t="s">
        <v>12</v>
      </c>
      <c r="W4" s="3" t="s">
        <v>11</v>
      </c>
      <c r="X4" s="3" t="s">
        <v>12</v>
      </c>
      <c r="Y4" s="3" t="s">
        <v>11</v>
      </c>
      <c r="Z4" s="3" t="s">
        <v>12</v>
      </c>
      <c r="AA4" s="3" t="s">
        <v>11</v>
      </c>
      <c r="AB4" s="3" t="s">
        <v>12</v>
      </c>
      <c r="AC4" s="3"/>
    </row>
    <row r="5" customFormat="false" ht="15" hidden="false" customHeight="false" outlineLevel="0" collapsed="false">
      <c r="A5" s="4" t="s">
        <v>13</v>
      </c>
      <c r="B5" s="5" t="n">
        <v>353663</v>
      </c>
      <c r="C5" s="5" t="n">
        <v>4</v>
      </c>
      <c r="D5" s="5" t="n">
        <v>387760</v>
      </c>
      <c r="E5" s="5" t="n">
        <v>5</v>
      </c>
      <c r="F5" s="5" t="n">
        <v>141087</v>
      </c>
      <c r="G5" s="5" t="n">
        <v>1</v>
      </c>
      <c r="H5" s="5" t="n">
        <v>148745</v>
      </c>
      <c r="I5" s="5" t="n">
        <v>2</v>
      </c>
      <c r="J5" s="6"/>
      <c r="K5" s="6"/>
      <c r="L5" s="6"/>
      <c r="M5" s="6"/>
      <c r="O5" s="4" t="s">
        <v>13</v>
      </c>
      <c r="P5" s="5" t="n">
        <v>18200</v>
      </c>
      <c r="Q5" s="7" t="n">
        <f aca="false">B5+$P5</f>
        <v>371863</v>
      </c>
      <c r="R5" s="8" t="n">
        <v>5</v>
      </c>
      <c r="S5" s="5" t="n">
        <f aca="false">D5</f>
        <v>387760</v>
      </c>
      <c r="T5" s="5" t="n">
        <v>5</v>
      </c>
      <c r="U5" s="7" t="n">
        <f aca="false">F5-$P5</f>
        <v>122887</v>
      </c>
      <c r="V5" s="5" t="n">
        <v>1</v>
      </c>
      <c r="W5" s="5" t="n">
        <f aca="false">H5</f>
        <v>148745</v>
      </c>
      <c r="X5" s="9" t="n">
        <v>1</v>
      </c>
      <c r="Y5" s="6"/>
      <c r="Z5" s="6"/>
      <c r="AA5" s="6"/>
      <c r="AB5" s="6"/>
      <c r="AC5" s="6" t="s">
        <v>6</v>
      </c>
    </row>
    <row r="6" customFormat="false" ht="15" hidden="false" customHeight="false" outlineLevel="0" collapsed="false">
      <c r="A6" s="4" t="s">
        <v>14</v>
      </c>
      <c r="B6" s="5" t="n">
        <v>179303</v>
      </c>
      <c r="C6" s="5" t="n">
        <v>3</v>
      </c>
      <c r="D6" s="5" t="n">
        <v>151786</v>
      </c>
      <c r="E6" s="5" t="n">
        <v>3</v>
      </c>
      <c r="F6" s="5" t="n">
        <v>76547</v>
      </c>
      <c r="G6" s="5" t="n">
        <v>1</v>
      </c>
      <c r="H6" s="5" t="n">
        <v>83487</v>
      </c>
      <c r="I6" s="5" t="n">
        <v>1</v>
      </c>
      <c r="J6" s="6"/>
      <c r="K6" s="6"/>
      <c r="L6" s="6"/>
      <c r="M6" s="6"/>
      <c r="O6" s="4" t="s">
        <v>14</v>
      </c>
      <c r="P6" s="5" t="n">
        <v>23079</v>
      </c>
      <c r="Q6" s="7" t="n">
        <f aca="false">B6+$P6</f>
        <v>202382</v>
      </c>
      <c r="R6" s="8" t="n">
        <v>4</v>
      </c>
      <c r="S6" s="5" t="n">
        <f aca="false">D6</f>
        <v>151786</v>
      </c>
      <c r="T6" s="9" t="n">
        <v>2</v>
      </c>
      <c r="U6" s="7" t="n">
        <f aca="false">F6-$P6</f>
        <v>53468</v>
      </c>
      <c r="V6" s="5" t="n">
        <v>1</v>
      </c>
      <c r="W6" s="5" t="n">
        <f aca="false">H6</f>
        <v>83487</v>
      </c>
      <c r="X6" s="5" t="n">
        <v>1</v>
      </c>
      <c r="Y6" s="6"/>
      <c r="Z6" s="6"/>
      <c r="AA6" s="6"/>
      <c r="AB6" s="6"/>
      <c r="AC6" s="6" t="s">
        <v>4</v>
      </c>
    </row>
    <row r="7" customFormat="false" ht="15" hidden="false" customHeight="false" outlineLevel="0" collapsed="false">
      <c r="A7" s="4" t="s">
        <v>15</v>
      </c>
      <c r="B7" s="5" t="n">
        <v>88299</v>
      </c>
      <c r="C7" s="5" t="n">
        <v>2</v>
      </c>
      <c r="D7" s="5" t="n">
        <v>76322</v>
      </c>
      <c r="E7" s="5" t="n">
        <v>2</v>
      </c>
      <c r="F7" s="5" t="n">
        <v>36750</v>
      </c>
      <c r="G7" s="5" t="n">
        <v>0</v>
      </c>
      <c r="H7" s="6"/>
      <c r="I7" s="6"/>
      <c r="J7" s="6"/>
      <c r="K7" s="6"/>
      <c r="L7" s="6"/>
      <c r="M7" s="6"/>
      <c r="O7" s="4" t="s">
        <v>15</v>
      </c>
      <c r="P7" s="5" t="n">
        <v>26184</v>
      </c>
      <c r="Q7" s="7" t="n">
        <f aca="false">B7+$P7</f>
        <v>114483</v>
      </c>
      <c r="R7" s="8" t="n">
        <v>3</v>
      </c>
      <c r="S7" s="5" t="n">
        <f aca="false">D7</f>
        <v>76322</v>
      </c>
      <c r="T7" s="9" t="n">
        <v>1</v>
      </c>
      <c r="U7" s="7" t="n">
        <f aca="false">F7-$P7</f>
        <v>10566</v>
      </c>
      <c r="V7" s="5" t="n">
        <v>0</v>
      </c>
      <c r="W7" s="6"/>
      <c r="X7" s="6"/>
      <c r="Y7" s="6"/>
      <c r="Z7" s="6"/>
      <c r="AA7" s="6"/>
      <c r="AB7" s="6"/>
      <c r="AC7" s="6" t="s">
        <v>4</v>
      </c>
    </row>
    <row r="8" customFormat="false" ht="15" hidden="false" customHeight="false" outlineLevel="0" collapsed="false">
      <c r="A8" s="4" t="s">
        <v>16</v>
      </c>
      <c r="B8" s="5" t="n">
        <v>82329</v>
      </c>
      <c r="C8" s="5" t="n">
        <v>2</v>
      </c>
      <c r="D8" s="5" t="n">
        <v>69775</v>
      </c>
      <c r="E8" s="5" t="n">
        <v>2</v>
      </c>
      <c r="F8" s="5" t="n">
        <v>25858</v>
      </c>
      <c r="G8" s="5" t="n">
        <v>0</v>
      </c>
      <c r="H8" s="6"/>
      <c r="I8" s="6"/>
      <c r="J8" s="6"/>
      <c r="K8" s="6"/>
      <c r="L8" s="6"/>
      <c r="M8" s="6"/>
      <c r="O8" s="4" t="s">
        <v>16</v>
      </c>
      <c r="P8" s="5" t="n">
        <v>22334</v>
      </c>
      <c r="Q8" s="7" t="n">
        <f aca="false">B8+$P8</f>
        <v>104663</v>
      </c>
      <c r="R8" s="8" t="n">
        <v>3</v>
      </c>
      <c r="S8" s="5" t="n">
        <f aca="false">D8</f>
        <v>69775</v>
      </c>
      <c r="T8" s="9" t="n">
        <v>1</v>
      </c>
      <c r="U8" s="7" t="n">
        <f aca="false">F8-$P8</f>
        <v>3524</v>
      </c>
      <c r="V8" s="5" t="n">
        <v>0</v>
      </c>
      <c r="W8" s="6"/>
      <c r="X8" s="6"/>
      <c r="Y8" s="6"/>
      <c r="Z8" s="6"/>
      <c r="AA8" s="6"/>
      <c r="AB8" s="6"/>
      <c r="AC8" s="6" t="s">
        <v>4</v>
      </c>
    </row>
    <row r="9" customFormat="false" ht="15" hidden="false" customHeight="false" outlineLevel="0" collapsed="false">
      <c r="A9" s="4" t="s">
        <v>17</v>
      </c>
      <c r="B9" s="5" t="n">
        <v>31341</v>
      </c>
      <c r="C9" s="5" t="n">
        <v>0</v>
      </c>
      <c r="D9" s="5" t="n">
        <v>93448</v>
      </c>
      <c r="E9" s="5" t="n">
        <v>2</v>
      </c>
      <c r="F9" s="5" t="n">
        <v>22706</v>
      </c>
      <c r="G9" s="5" t="n">
        <v>0</v>
      </c>
      <c r="H9" s="5" t="n">
        <v>35344</v>
      </c>
      <c r="I9" s="5" t="n">
        <v>1</v>
      </c>
      <c r="J9" s="5" t="n">
        <v>47531</v>
      </c>
      <c r="K9" s="5" t="n">
        <v>1</v>
      </c>
      <c r="L9" s="5" t="n">
        <v>63251</v>
      </c>
      <c r="M9" s="5" t="n">
        <v>2</v>
      </c>
      <c r="O9" s="4" t="s">
        <v>17</v>
      </c>
      <c r="P9" s="5" t="n">
        <v>285</v>
      </c>
      <c r="Q9" s="7" t="n">
        <f aca="false">B9+$P9</f>
        <v>31626</v>
      </c>
      <c r="R9" s="8" t="n">
        <v>1</v>
      </c>
      <c r="S9" s="5" t="n">
        <f aca="false">D9</f>
        <v>93448</v>
      </c>
      <c r="T9" s="5" t="n">
        <v>2</v>
      </c>
      <c r="U9" s="7" t="n">
        <f aca="false">F9-$P9</f>
        <v>22421</v>
      </c>
      <c r="V9" s="5" t="n">
        <v>0</v>
      </c>
      <c r="W9" s="5" t="n">
        <f aca="false">H9</f>
        <v>35344</v>
      </c>
      <c r="X9" s="5" t="n">
        <v>1</v>
      </c>
      <c r="Y9" s="5" t="n">
        <f aca="false">J9</f>
        <v>47531</v>
      </c>
      <c r="Z9" s="5" t="n">
        <v>1</v>
      </c>
      <c r="AA9" s="5" t="n">
        <f aca="false">L9</f>
        <v>63251</v>
      </c>
      <c r="AB9" s="9" t="n">
        <v>1</v>
      </c>
      <c r="AC9" s="6" t="s">
        <v>8</v>
      </c>
    </row>
    <row r="10" customFormat="false" ht="15" hidden="false" customHeight="false" outlineLevel="0" collapsed="false">
      <c r="A10" s="4" t="s">
        <v>18</v>
      </c>
      <c r="B10" s="5" t="n">
        <v>23699</v>
      </c>
      <c r="C10" s="5" t="n">
        <v>0</v>
      </c>
      <c r="D10" s="5" t="n">
        <v>54414</v>
      </c>
      <c r="E10" s="5" t="n">
        <v>2</v>
      </c>
      <c r="F10" s="5" t="n">
        <v>12560</v>
      </c>
      <c r="G10" s="5" t="n">
        <v>0</v>
      </c>
      <c r="H10" s="6"/>
      <c r="I10" s="6"/>
      <c r="J10" s="5" t="n">
        <v>34331</v>
      </c>
      <c r="K10" s="5" t="n">
        <v>1</v>
      </c>
      <c r="L10" s="5" t="n">
        <v>33228</v>
      </c>
      <c r="M10" s="5" t="n">
        <v>1</v>
      </c>
      <c r="O10" s="4" t="s">
        <v>18</v>
      </c>
      <c r="P10" s="5" t="n">
        <v>3509</v>
      </c>
      <c r="Q10" s="7" t="n">
        <f aca="false">B10+$P10</f>
        <v>27208</v>
      </c>
      <c r="R10" s="8" t="n">
        <v>1</v>
      </c>
      <c r="S10" s="5" t="n">
        <f aca="false">D10</f>
        <v>54414</v>
      </c>
      <c r="T10" s="9" t="n">
        <v>1</v>
      </c>
      <c r="U10" s="7" t="n">
        <f aca="false">F10-$P10</f>
        <v>9051</v>
      </c>
      <c r="V10" s="5" t="n">
        <v>0</v>
      </c>
      <c r="W10" s="6"/>
      <c r="X10" s="6"/>
      <c r="Y10" s="5" t="n">
        <f aca="false">J10</f>
        <v>34331</v>
      </c>
      <c r="Z10" s="5" t="n">
        <v>1</v>
      </c>
      <c r="AA10" s="5" t="n">
        <f aca="false">L10</f>
        <v>33228</v>
      </c>
      <c r="AB10" s="5" t="n">
        <v>1</v>
      </c>
      <c r="AC10" s="6" t="s">
        <v>4</v>
      </c>
    </row>
    <row r="11" customFormat="false" ht="15" hidden="false" customHeight="false" outlineLevel="0" collapsed="false">
      <c r="A11" s="4" t="s">
        <v>19</v>
      </c>
      <c r="B11" s="5" t="n">
        <v>51061</v>
      </c>
      <c r="C11" s="5" t="n">
        <v>1</v>
      </c>
      <c r="D11" s="5" t="n">
        <v>121126</v>
      </c>
      <c r="E11" s="5" t="n">
        <v>2</v>
      </c>
      <c r="F11" s="5" t="n">
        <v>38039</v>
      </c>
      <c r="G11" s="5" t="n">
        <v>0</v>
      </c>
      <c r="H11" s="5" t="n">
        <v>41719</v>
      </c>
      <c r="I11" s="5" t="n">
        <v>1</v>
      </c>
      <c r="J11" s="5" t="n">
        <v>55461</v>
      </c>
      <c r="K11" s="5" t="n">
        <v>1</v>
      </c>
      <c r="L11" s="5" t="n">
        <v>40791</v>
      </c>
      <c r="M11" s="5" t="n">
        <v>1</v>
      </c>
      <c r="O11" s="4" t="s">
        <v>19</v>
      </c>
      <c r="P11" s="5" t="n">
        <v>30521</v>
      </c>
      <c r="Q11" s="7" t="n">
        <f aca="false">B11+$P11</f>
        <v>81582</v>
      </c>
      <c r="R11" s="8" t="n">
        <v>2</v>
      </c>
      <c r="S11" s="5" t="n">
        <f aca="false">D11</f>
        <v>121126</v>
      </c>
      <c r="T11" s="5" t="n">
        <v>2</v>
      </c>
      <c r="U11" s="7" t="n">
        <f aca="false">F11-$P11</f>
        <v>7518</v>
      </c>
      <c r="V11" s="5" t="n">
        <v>0</v>
      </c>
      <c r="W11" s="5" t="n">
        <f aca="false">H11</f>
        <v>41719</v>
      </c>
      <c r="X11" s="5" t="n">
        <v>1</v>
      </c>
      <c r="Y11" s="5" t="n">
        <f aca="false">J11</f>
        <v>55461</v>
      </c>
      <c r="Z11" s="5" t="n">
        <v>1</v>
      </c>
      <c r="AA11" s="5" t="n">
        <f aca="false">L11</f>
        <v>40791</v>
      </c>
      <c r="AB11" s="9" t="n">
        <v>0</v>
      </c>
      <c r="AC11" s="6" t="s">
        <v>8</v>
      </c>
    </row>
    <row r="12" customFormat="false" ht="15" hidden="false" customHeight="false" outlineLevel="0" collapsed="false">
      <c r="A12" s="4" t="s">
        <v>20</v>
      </c>
      <c r="B12" s="5" t="n">
        <v>227658</v>
      </c>
      <c r="C12" s="5" t="n">
        <v>3</v>
      </c>
      <c r="D12" s="5" t="n">
        <v>179737</v>
      </c>
      <c r="E12" s="5" t="n">
        <v>3</v>
      </c>
      <c r="F12" s="5" t="n">
        <v>27539</v>
      </c>
      <c r="G12" s="5" t="n">
        <v>0</v>
      </c>
      <c r="H12" s="5" t="n">
        <v>75615</v>
      </c>
      <c r="I12" s="5" t="n">
        <v>1</v>
      </c>
      <c r="J12" s="6"/>
      <c r="K12" s="6"/>
      <c r="L12" s="6"/>
      <c r="M12" s="6"/>
      <c r="O12" s="4" t="s">
        <v>20</v>
      </c>
      <c r="P12" s="5" t="n">
        <v>11992</v>
      </c>
      <c r="Q12" s="7" t="n">
        <f aca="false">B12+$P12</f>
        <v>239650</v>
      </c>
      <c r="R12" s="8" t="n">
        <v>4</v>
      </c>
      <c r="S12" s="5" t="n">
        <f aca="false">D12</f>
        <v>179737</v>
      </c>
      <c r="T12" s="9" t="n">
        <v>2</v>
      </c>
      <c r="U12" s="7" t="n">
        <f aca="false">F12-$P12</f>
        <v>15547</v>
      </c>
      <c r="V12" s="5" t="n">
        <v>0</v>
      </c>
      <c r="W12" s="5" t="n">
        <f aca="false">H12</f>
        <v>75615</v>
      </c>
      <c r="X12" s="5" t="n">
        <v>1</v>
      </c>
      <c r="Y12" s="6"/>
      <c r="Z12" s="6"/>
      <c r="AA12" s="6"/>
      <c r="AB12" s="6"/>
      <c r="AC12" s="6" t="s">
        <v>4</v>
      </c>
    </row>
    <row r="13" customFormat="false" ht="15" hidden="false" customHeight="false" outlineLevel="0" collapsed="false">
      <c r="A13" s="4" t="s">
        <v>21</v>
      </c>
      <c r="B13" s="5" t="n">
        <v>307972</v>
      </c>
      <c r="C13" s="5" t="n">
        <v>4</v>
      </c>
      <c r="D13" s="5" t="n">
        <v>189210</v>
      </c>
      <c r="E13" s="5" t="n">
        <v>3</v>
      </c>
      <c r="F13" s="5" t="n">
        <v>163124</v>
      </c>
      <c r="G13" s="5" t="n">
        <v>2</v>
      </c>
      <c r="H13" s="5" t="n">
        <v>71578</v>
      </c>
      <c r="I13" s="5" t="n">
        <v>1</v>
      </c>
      <c r="J13" s="6"/>
      <c r="K13" s="6"/>
      <c r="L13" s="6"/>
      <c r="M13" s="6"/>
      <c r="O13" s="4" t="s">
        <v>21</v>
      </c>
      <c r="P13" s="5" t="n">
        <v>7378</v>
      </c>
      <c r="Q13" s="7" t="n">
        <f aca="false">B13+$P13</f>
        <v>315350</v>
      </c>
      <c r="R13" s="8" t="n">
        <v>5</v>
      </c>
      <c r="S13" s="5" t="n">
        <f aca="false">D13</f>
        <v>189210</v>
      </c>
      <c r="T13" s="9" t="n">
        <v>2</v>
      </c>
      <c r="U13" s="7" t="n">
        <f aca="false">F13-$P13</f>
        <v>155746</v>
      </c>
      <c r="V13" s="5" t="n">
        <v>2</v>
      </c>
      <c r="W13" s="5" t="n">
        <f aca="false">H13</f>
        <v>71578</v>
      </c>
      <c r="X13" s="5" t="n">
        <v>1</v>
      </c>
      <c r="Y13" s="6"/>
      <c r="Z13" s="6"/>
      <c r="AA13" s="6"/>
      <c r="AB13" s="6"/>
      <c r="AC13" s="6" t="s">
        <v>4</v>
      </c>
    </row>
    <row r="14" customFormat="false" ht="15" hidden="false" customHeight="false" outlineLevel="0" collapsed="false">
      <c r="A14" s="4" t="s">
        <v>22</v>
      </c>
      <c r="B14" s="5" t="n">
        <v>79715</v>
      </c>
      <c r="C14" s="5" t="n">
        <v>2</v>
      </c>
      <c r="D14" s="5" t="n">
        <v>62322</v>
      </c>
      <c r="E14" s="5" t="n">
        <v>2</v>
      </c>
      <c r="F14" s="5" t="n">
        <v>17056</v>
      </c>
      <c r="G14" s="5" t="n">
        <v>0</v>
      </c>
      <c r="H14" s="6"/>
      <c r="I14" s="6"/>
      <c r="J14" s="6"/>
      <c r="K14" s="6"/>
      <c r="L14" s="6"/>
      <c r="M14" s="6"/>
      <c r="O14" s="4" t="s">
        <v>22</v>
      </c>
      <c r="P14" s="5" t="n">
        <v>13768</v>
      </c>
      <c r="Q14" s="7" t="n">
        <f aca="false">B14+$P14</f>
        <v>93483</v>
      </c>
      <c r="R14" s="8" t="n">
        <v>3</v>
      </c>
      <c r="S14" s="5" t="n">
        <f aca="false">D14</f>
        <v>62322</v>
      </c>
      <c r="T14" s="9" t="n">
        <v>1</v>
      </c>
      <c r="U14" s="7" t="n">
        <f aca="false">F14-$P14</f>
        <v>3288</v>
      </c>
      <c r="V14" s="5" t="n">
        <v>0</v>
      </c>
      <c r="W14" s="6"/>
      <c r="X14" s="6"/>
      <c r="Y14" s="6"/>
      <c r="Z14" s="6"/>
      <c r="AA14" s="6"/>
      <c r="AB14" s="6"/>
      <c r="AC14" s="6" t="s">
        <v>4</v>
      </c>
    </row>
    <row r="16" customFormat="false" ht="15" hidden="false" customHeight="false" outlineLevel="0" collapsed="false">
      <c r="A16" s="10" t="s">
        <v>23</v>
      </c>
    </row>
    <row r="17" customFormat="false" ht="15" hidden="false" customHeight="false" outlineLevel="0" collapsed="false">
      <c r="A17" s="11" t="s">
        <v>24</v>
      </c>
    </row>
    <row r="18" customFormat="false" ht="15" hidden="false" customHeight="false" outlineLevel="0" collapsed="false">
      <c r="A18" s="11" t="s">
        <v>25</v>
      </c>
    </row>
    <row r="19" customFormat="false" ht="15" hidden="false" customHeight="false" outlineLevel="0" collapsed="false">
      <c r="A19" s="11" t="s">
        <v>26</v>
      </c>
    </row>
  </sheetData>
  <mergeCells count="16">
    <mergeCell ref="A3:A4"/>
    <mergeCell ref="B3:C3"/>
    <mergeCell ref="D3:E3"/>
    <mergeCell ref="F3:G3"/>
    <mergeCell ref="H3:I3"/>
    <mergeCell ref="J3:K3"/>
    <mergeCell ref="L3:M3"/>
    <mergeCell ref="O3:O4"/>
    <mergeCell ref="P3:P4"/>
    <mergeCell ref="Q3:R3"/>
    <mergeCell ref="S3:T3"/>
    <mergeCell ref="U3:V3"/>
    <mergeCell ref="W3:X3"/>
    <mergeCell ref="Y3:Z3"/>
    <mergeCell ref="AA3:AB3"/>
    <mergeCell ref="AC3:A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2026-10-16T11:55:11Z</dcterms:created>
  <dc:creator>openpyxl</dc:creator>
  <dc:description/>
  <dc:language>en-US</dc:language>
  <cp:lastModifiedBy/>
  <dcterms:modified xsi:type="dcterms:W3CDTF">2026-10-16T11:55:11Z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