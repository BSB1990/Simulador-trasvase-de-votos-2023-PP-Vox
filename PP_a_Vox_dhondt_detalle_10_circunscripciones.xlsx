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villa" sheetId="1" state="visible" r:id="rId3"/>
    <sheet name="Illes Balears" sheetId="2" state="visible" r:id="rId4"/>
    <sheet name="Albacete" sheetId="3" state="visible" r:id="rId5"/>
    <sheet name="Burgos" sheetId="4" state="visible" r:id="rId6"/>
    <sheet name="Girona" sheetId="5" state="visible" r:id="rId7"/>
    <sheet name="Lleida" sheetId="6" state="visible" r:id="rId8"/>
    <sheet name="Tarragona" sheetId="7" state="visible" r:id="rId9"/>
    <sheet name="Pontevedra" sheetId="8" state="visible" r:id="rId10"/>
    <sheet name="Murcia" sheetId="9" state="visible" r:id="rId11"/>
    <sheet name="La Rioj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<sst xmlns="http://schemas.openxmlformats.org/spreadsheetml/2006/main" count="504" uniqueCount="31">
  <si>
    <t xml:space="preserve">Sevilla · Aplicación de la ley d'Hondt antes y después del trasvase PP → Vox</t>
  </si>
  <si>
    <t xml:space="preserve">Escaños a repartir</t>
  </si>
  <si>
    <t xml:space="preserve">Votos transferidos PP→Vox (x)</t>
  </si>
  <si>
    <t xml:space="preserve">← dato de entrada (mínimo calculado)</t>
  </si>
  <si>
    <t xml:space="preserve">TABLA 1 · Resultado original (votos del Excel de partida)</t>
  </si>
  <si>
    <t xml:space="preserve">Partido</t>
  </si>
  <si>
    <t xml:space="preserve">Votos</t>
  </si>
  <si>
    <t xml:space="preserve">Diputados</t>
  </si>
  <si>
    <t xml:space="preserve">PP</t>
  </si>
  <si>
    <t xml:space="preserve">PSOE</t>
  </si>
  <si>
    <t xml:space="preserve">VOX</t>
  </si>
  <si>
    <t xml:space="preserve">SUMAR</t>
  </si>
  <si>
    <t xml:space="preserve">Total</t>
  </si>
  <si>
    <t xml:space="preserve">Orden de adjudicación</t>
  </si>
  <si>
    <t xml:space="preserve">Escaño nº</t>
  </si>
  <si>
    <t xml:space="preserve">Divisor</t>
  </si>
  <si>
    <t xml:space="preserve">Cociente</t>
  </si>
  <si>
    <t xml:space="preserve">Primer cociente excluido (escaño N+1)</t>
  </si>
  <si>
    <t xml:space="preserve">TABLA 2 · Resultado tras el trasvase de x votos del PP a Vox</t>
  </si>
  <si>
    <t xml:space="preserve">Verde: cocientes que obtienen escaño (los N más altos; empates de cociente resueltos a favor del partido con más votos totales). Amarillo: votos modificados / dato de entrada. Los diputados son el resultado del reparto; el resto son fórmulas.</t>
  </si>
  <si>
    <t xml:space="preserve">Illes Balears · Aplicación de la ley d'Hondt antes y después del trasvase PP → Vox</t>
  </si>
  <si>
    <t xml:space="preserve">Albacete · Aplicación de la ley d'Hondt antes y después del trasvase PP → Vox</t>
  </si>
  <si>
    <t xml:space="preserve">Burgos · Aplicación de la ley d'Hondt antes y después del trasvase PP → Vox</t>
  </si>
  <si>
    <t xml:space="preserve">Girona · Aplicación de la ley d'Hondt antes y después del trasvase PP → Vox</t>
  </si>
  <si>
    <t xml:space="preserve">ERC</t>
  </si>
  <si>
    <t xml:space="preserve">JxCAT-JUNTS</t>
  </si>
  <si>
    <t xml:space="preserve">Lleida · Aplicación de la ley d'Hondt antes y después del trasvase PP → Vox</t>
  </si>
  <si>
    <t xml:space="preserve">Tarragona · Aplicación de la ley d'Hondt antes y después del trasvase PP → Vox</t>
  </si>
  <si>
    <t xml:space="preserve">Pontevedra · Aplicación de la ley d'Hondt antes y después del trasvase PP → Vox</t>
  </si>
  <si>
    <t xml:space="preserve">Murcia · Aplicación de la ley d'Hondt antes y después del trasvase PP → Vox</t>
  </si>
  <si>
    <t xml:space="preserve">La Rioja · Aplicación de la ley d'Hondt antes y después del trasvase PP → Vox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</si>
</sst>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÷0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7F3F0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5" min="3" style="0" width="11"/>
    <col collapsed="false" customWidth="true" hidden="false" outlineLevel="0" max="16" min="16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12</v>
      </c>
    </row>
    <row r="3" customFormat="false" ht="15" hidden="false" customHeight="false" outlineLevel="0" collapsed="false">
      <c r="A3" s="2" t="s">
        <v>2</v>
      </c>
      <c r="B3" s="4" t="n">
        <v>7659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8" t="n">
        <v>8</v>
      </c>
      <c r="K6" s="8" t="n">
        <v>9</v>
      </c>
      <c r="L6" s="8" t="n">
        <v>10</v>
      </c>
      <c r="M6" s="8" t="n">
        <v>11</v>
      </c>
      <c r="N6" s="8" t="n">
        <v>12</v>
      </c>
      <c r="O6" s="7" t="s">
        <v>7</v>
      </c>
    </row>
    <row r="7" customFormat="false" ht="15" hidden="false" customHeight="false" outlineLevel="0" collapsed="false">
      <c r="A7" s="9" t="s">
        <v>8</v>
      </c>
      <c r="B7" s="10" t="n">
        <v>353663</v>
      </c>
      <c r="C7" s="11" t="n">
        <f aca="false">$B7/C$6</f>
        <v>353663</v>
      </c>
      <c r="D7" s="11" t="n">
        <f aca="false">$B7/D$6</f>
        <v>176831.5</v>
      </c>
      <c r="E7" s="11" t="n">
        <f aca="false">$B7/E$6</f>
        <v>117887.666666667</v>
      </c>
      <c r="F7" s="11" t="n">
        <f aca="false">$B7/F$6</f>
        <v>88415.75</v>
      </c>
      <c r="G7" s="11" t="n">
        <f aca="false">$B7/G$6</f>
        <v>70732.6</v>
      </c>
      <c r="H7" s="11" t="n">
        <f aca="false">$B7/H$6</f>
        <v>58943.8333333333</v>
      </c>
      <c r="I7" s="11" t="n">
        <f aca="false">$B7/I$6</f>
        <v>50523.2857142857</v>
      </c>
      <c r="J7" s="11" t="n">
        <f aca="false">$B7/J$6</f>
        <v>44207.875</v>
      </c>
      <c r="K7" s="11" t="n">
        <f aca="false">$B7/K$6</f>
        <v>39295.8888888889</v>
      </c>
      <c r="L7" s="11" t="n">
        <f aca="false">$B7/L$6</f>
        <v>35366.3</v>
      </c>
      <c r="M7" s="11" t="n">
        <f aca="false">$B7/M$6</f>
        <v>32151.1818181818</v>
      </c>
      <c r="N7" s="11" t="n">
        <f aca="false">$B7/N$6</f>
        <v>29471.9166666667</v>
      </c>
      <c r="O7" s="12" t="n">
        <v>4</v>
      </c>
    </row>
    <row r="8" customFormat="false" ht="15" hidden="false" customHeight="false" outlineLevel="0" collapsed="false">
      <c r="A8" s="9" t="s">
        <v>9</v>
      </c>
      <c r="B8" s="10" t="n">
        <v>387760</v>
      </c>
      <c r="C8" s="11" t="n">
        <f aca="false">$B8/C$6</f>
        <v>387760</v>
      </c>
      <c r="D8" s="11" t="n">
        <f aca="false">$B8/D$6</f>
        <v>193880</v>
      </c>
      <c r="E8" s="11" t="n">
        <f aca="false">$B8/E$6</f>
        <v>129253.333333333</v>
      </c>
      <c r="F8" s="11" t="n">
        <f aca="false">$B8/F$6</f>
        <v>96940</v>
      </c>
      <c r="G8" s="11" t="n">
        <f aca="false">$B8/G$6</f>
        <v>77552</v>
      </c>
      <c r="H8" s="11" t="n">
        <f aca="false">$B8/H$6</f>
        <v>64626.6666666667</v>
      </c>
      <c r="I8" s="11" t="n">
        <f aca="false">$B8/I$6</f>
        <v>55394.2857142857</v>
      </c>
      <c r="J8" s="11" t="n">
        <f aca="false">$B8/J$6</f>
        <v>48470</v>
      </c>
      <c r="K8" s="11" t="n">
        <f aca="false">$B8/K$6</f>
        <v>43084.4444444444</v>
      </c>
      <c r="L8" s="11" t="n">
        <f aca="false">$B8/L$6</f>
        <v>38776</v>
      </c>
      <c r="M8" s="11" t="n">
        <f aca="false">$B8/M$6</f>
        <v>35250.9090909091</v>
      </c>
      <c r="N8" s="11" t="n">
        <f aca="false">$B8/N$6</f>
        <v>32313.3333333333</v>
      </c>
      <c r="O8" s="12" t="n">
        <v>5</v>
      </c>
    </row>
    <row r="9" customFormat="false" ht="15" hidden="false" customHeight="false" outlineLevel="0" collapsed="false">
      <c r="A9" s="9" t="s">
        <v>10</v>
      </c>
      <c r="B9" s="10" t="n">
        <v>141087</v>
      </c>
      <c r="C9" s="11" t="n">
        <f aca="false">$B9/C$6</f>
        <v>141087</v>
      </c>
      <c r="D9" s="11" t="n">
        <f aca="false">$B9/D$6</f>
        <v>70543.5</v>
      </c>
      <c r="E9" s="11" t="n">
        <f aca="false">$B9/E$6</f>
        <v>47029</v>
      </c>
      <c r="F9" s="11" t="n">
        <f aca="false">$B9/F$6</f>
        <v>35271.75</v>
      </c>
      <c r="G9" s="11" t="n">
        <f aca="false">$B9/G$6</f>
        <v>28217.4</v>
      </c>
      <c r="H9" s="11" t="n">
        <f aca="false">$B9/H$6</f>
        <v>23514.5</v>
      </c>
      <c r="I9" s="11" t="n">
        <f aca="false">$B9/I$6</f>
        <v>20155.2857142857</v>
      </c>
      <c r="J9" s="11" t="n">
        <f aca="false">$B9/J$6</f>
        <v>17635.875</v>
      </c>
      <c r="K9" s="11" t="n">
        <f aca="false">$B9/K$6</f>
        <v>15676.3333333333</v>
      </c>
      <c r="L9" s="11" t="n">
        <f aca="false">$B9/L$6</f>
        <v>14108.7</v>
      </c>
      <c r="M9" s="11" t="n">
        <f aca="false">$B9/M$6</f>
        <v>12826.0909090909</v>
      </c>
      <c r="N9" s="11" t="n">
        <f aca="false">$B9/N$6</f>
        <v>11757.25</v>
      </c>
      <c r="O9" s="12" t="n">
        <v>1</v>
      </c>
    </row>
    <row r="10" customFormat="false" ht="15" hidden="false" customHeight="false" outlineLevel="0" collapsed="false">
      <c r="A10" s="9" t="s">
        <v>11</v>
      </c>
      <c r="B10" s="10" t="n">
        <v>148745</v>
      </c>
      <c r="C10" s="11" t="n">
        <f aca="false">$B10/C$6</f>
        <v>148745</v>
      </c>
      <c r="D10" s="11" t="n">
        <f aca="false">$B10/D$6</f>
        <v>74372.5</v>
      </c>
      <c r="E10" s="11" t="n">
        <f aca="false">$B10/E$6</f>
        <v>49581.6666666667</v>
      </c>
      <c r="F10" s="11" t="n">
        <f aca="false">$B10/F$6</f>
        <v>37186.25</v>
      </c>
      <c r="G10" s="11" t="n">
        <f aca="false">$B10/G$6</f>
        <v>29749</v>
      </c>
      <c r="H10" s="11" t="n">
        <f aca="false">$B10/H$6</f>
        <v>24790.8333333333</v>
      </c>
      <c r="I10" s="11" t="n">
        <f aca="false">$B10/I$6</f>
        <v>21249.2857142857</v>
      </c>
      <c r="J10" s="11" t="n">
        <f aca="false">$B10/J$6</f>
        <v>18593.125</v>
      </c>
      <c r="K10" s="11" t="n">
        <f aca="false">$B10/K$6</f>
        <v>16527.2222222222</v>
      </c>
      <c r="L10" s="11" t="n">
        <f aca="false">$B10/L$6</f>
        <v>14874.5</v>
      </c>
      <c r="M10" s="11" t="n">
        <f aca="false">$B10/M$6</f>
        <v>13522.2727272727</v>
      </c>
      <c r="N10" s="11" t="n">
        <f aca="false">$B10/N$6</f>
        <v>12395.4166666667</v>
      </c>
      <c r="O10" s="12" t="n">
        <v>2</v>
      </c>
    </row>
    <row r="11" customFormat="false" ht="15" hidden="false" customHeight="false" outlineLevel="0" collapsed="false">
      <c r="A11" s="2" t="s">
        <v>12</v>
      </c>
      <c r="B11" s="13" t="n">
        <f aca="false">SUM(B7:B10)</f>
        <v>1031255</v>
      </c>
      <c r="O11" s="2" t="n">
        <f aca="false">SUM(O7:O10)</f>
        <v>12</v>
      </c>
      <c r="P11" s="2" t="str">
        <f aca="false">IF(O11=$B$2,"✔ suma = escaños","✘ revisar")</f>
        <v>✔ suma = escaños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7" t="s">
        <v>14</v>
      </c>
      <c r="B14" s="7" t="s">
        <v>5</v>
      </c>
      <c r="C14" s="7" t="s">
        <v>15</v>
      </c>
      <c r="D14" s="7" t="s">
        <v>16</v>
      </c>
    </row>
    <row r="15" customFormat="false" ht="15" hidden="false" customHeight="false" outlineLevel="0" collapsed="false">
      <c r="A15" s="14" t="n">
        <v>1</v>
      </c>
      <c r="B15" s="12" t="s">
        <v>9</v>
      </c>
      <c r="C15" s="14" t="n">
        <v>1</v>
      </c>
      <c r="D15" s="15" t="n">
        <f aca="false">INDEX($B$7:$B$10,MATCH(B15,$A$7:$A$10,0))/C15</f>
        <v>387760</v>
      </c>
    </row>
    <row r="16" customFormat="false" ht="15" hidden="false" customHeight="false" outlineLevel="0" collapsed="false">
      <c r="A16" s="14" t="n">
        <v>2</v>
      </c>
      <c r="B16" s="12" t="s">
        <v>8</v>
      </c>
      <c r="C16" s="14" t="n">
        <v>1</v>
      </c>
      <c r="D16" s="15" t="n">
        <f aca="false">INDEX($B$7:$B$10,MATCH(B16,$A$7:$A$10,0))/C16</f>
        <v>353663</v>
      </c>
    </row>
    <row r="17" customFormat="false" ht="15" hidden="false" customHeight="false" outlineLevel="0" collapsed="false">
      <c r="A17" s="14" t="n">
        <v>3</v>
      </c>
      <c r="B17" s="12" t="s">
        <v>9</v>
      </c>
      <c r="C17" s="14" t="n">
        <v>2</v>
      </c>
      <c r="D17" s="15" t="n">
        <f aca="false">INDEX($B$7:$B$10,MATCH(B17,$A$7:$A$10,0))/C17</f>
        <v>193880</v>
      </c>
    </row>
    <row r="18" customFormat="false" ht="15" hidden="false" customHeight="false" outlineLevel="0" collapsed="false">
      <c r="A18" s="14" t="n">
        <v>4</v>
      </c>
      <c r="B18" s="12" t="s">
        <v>8</v>
      </c>
      <c r="C18" s="14" t="n">
        <v>2</v>
      </c>
      <c r="D18" s="15" t="n">
        <f aca="false">INDEX($B$7:$B$10,MATCH(B18,$A$7:$A$10,0))/C18</f>
        <v>176831.5</v>
      </c>
    </row>
    <row r="19" customFormat="false" ht="15" hidden="false" customHeight="false" outlineLevel="0" collapsed="false">
      <c r="A19" s="14" t="n">
        <v>5</v>
      </c>
      <c r="B19" s="12" t="s">
        <v>11</v>
      </c>
      <c r="C19" s="14" t="n">
        <v>1</v>
      </c>
      <c r="D19" s="15" t="n">
        <f aca="false">INDEX($B$7:$B$10,MATCH(B19,$A$7:$A$10,0))/C19</f>
        <v>148745</v>
      </c>
    </row>
    <row r="20" customFormat="false" ht="15" hidden="false" customHeight="false" outlineLevel="0" collapsed="false">
      <c r="A20" s="14" t="n">
        <v>6</v>
      </c>
      <c r="B20" s="12" t="s">
        <v>10</v>
      </c>
      <c r="C20" s="14" t="n">
        <v>1</v>
      </c>
      <c r="D20" s="15" t="n">
        <f aca="false">INDEX($B$7:$B$10,MATCH(B20,$A$7:$A$10,0))/C20</f>
        <v>141087</v>
      </c>
    </row>
    <row r="21" customFormat="false" ht="15" hidden="false" customHeight="false" outlineLevel="0" collapsed="false">
      <c r="A21" s="14" t="n">
        <v>7</v>
      </c>
      <c r="B21" s="12" t="s">
        <v>9</v>
      </c>
      <c r="C21" s="14" t="n">
        <v>3</v>
      </c>
      <c r="D21" s="15" t="n">
        <f aca="false">INDEX($B$7:$B$10,MATCH(B21,$A$7:$A$10,0))/C21</f>
        <v>129253.333333333</v>
      </c>
    </row>
    <row r="22" customFormat="false" ht="15" hidden="false" customHeight="false" outlineLevel="0" collapsed="false">
      <c r="A22" s="14" t="n">
        <v>8</v>
      </c>
      <c r="B22" s="12" t="s">
        <v>8</v>
      </c>
      <c r="C22" s="14" t="n">
        <v>3</v>
      </c>
      <c r="D22" s="15" t="n">
        <f aca="false">INDEX($B$7:$B$10,MATCH(B22,$A$7:$A$10,0))/C22</f>
        <v>117887.666666667</v>
      </c>
    </row>
    <row r="23" customFormat="false" ht="15" hidden="false" customHeight="false" outlineLevel="0" collapsed="false">
      <c r="A23" s="14" t="n">
        <v>9</v>
      </c>
      <c r="B23" s="12" t="s">
        <v>9</v>
      </c>
      <c r="C23" s="14" t="n">
        <v>4</v>
      </c>
      <c r="D23" s="15" t="n">
        <f aca="false">INDEX($B$7:$B$10,MATCH(B23,$A$7:$A$10,0))/C23</f>
        <v>96940</v>
      </c>
    </row>
    <row r="24" customFormat="false" ht="15" hidden="false" customHeight="false" outlineLevel="0" collapsed="false">
      <c r="A24" s="14" t="n">
        <v>10</v>
      </c>
      <c r="B24" s="12" t="s">
        <v>8</v>
      </c>
      <c r="C24" s="14" t="n">
        <v>4</v>
      </c>
      <c r="D24" s="15" t="n">
        <f aca="false">INDEX($B$7:$B$10,MATCH(B24,$A$7:$A$10,0))/C24</f>
        <v>88415.75</v>
      </c>
    </row>
    <row r="25" customFormat="false" ht="15" hidden="false" customHeight="false" outlineLevel="0" collapsed="false">
      <c r="A25" s="14" t="n">
        <v>11</v>
      </c>
      <c r="B25" s="12" t="s">
        <v>9</v>
      </c>
      <c r="C25" s="14" t="n">
        <v>5</v>
      </c>
      <c r="D25" s="15" t="n">
        <f aca="false">INDEX($B$7:$B$10,MATCH(B25,$A$7:$A$10,0))/C25</f>
        <v>77552</v>
      </c>
    </row>
    <row r="26" customFormat="false" ht="15" hidden="false" customHeight="false" outlineLevel="0" collapsed="false">
      <c r="A26" s="14" t="n">
        <v>12</v>
      </c>
      <c r="B26" s="12" t="s">
        <v>11</v>
      </c>
      <c r="C26" s="14" t="n">
        <v>2</v>
      </c>
      <c r="D26" s="15" t="n">
        <f aca="false">INDEX($B$7:$B$10,MATCH(B26,$A$7:$A$10,0))/C26</f>
        <v>74372.5</v>
      </c>
    </row>
    <row r="27" customFormat="false" ht="15" hidden="false" customHeight="false" outlineLevel="0" collapsed="false">
      <c r="A27" s="16" t="s">
        <v>17</v>
      </c>
      <c r="B27" s="12" t="s">
        <v>8</v>
      </c>
      <c r="C27" s="12" t="n">
        <v>5</v>
      </c>
      <c r="D27" s="11" t="n">
        <f aca="false">INDEX($B$7:$B$10,MATCH(B27,$A$7:$A$10,0))/C27</f>
        <v>70732.6</v>
      </c>
    </row>
    <row r="29" customFormat="false" ht="15" hidden="false" customHeight="false" outlineLevel="0" collapsed="false">
      <c r="A29" s="6" t="s">
        <v>18</v>
      </c>
    </row>
    <row r="30" customFormat="false" ht="15" hidden="false" customHeight="false" outlineLevel="0" collapsed="false">
      <c r="A30" s="17" t="s">
        <v>5</v>
      </c>
      <c r="B30" s="17" t="s">
        <v>6</v>
      </c>
      <c r="C30" s="18" t="n">
        <v>1</v>
      </c>
      <c r="D30" s="18" t="n">
        <v>2</v>
      </c>
      <c r="E30" s="18" t="n">
        <v>3</v>
      </c>
      <c r="F30" s="18" t="n">
        <v>4</v>
      </c>
      <c r="G30" s="18" t="n">
        <v>5</v>
      </c>
      <c r="H30" s="18" t="n">
        <v>6</v>
      </c>
      <c r="I30" s="18" t="n">
        <v>7</v>
      </c>
      <c r="J30" s="18" t="n">
        <v>8</v>
      </c>
      <c r="K30" s="18" t="n">
        <v>9</v>
      </c>
      <c r="L30" s="18" t="n">
        <v>10</v>
      </c>
      <c r="M30" s="18" t="n">
        <v>11</v>
      </c>
      <c r="N30" s="18" t="n">
        <v>12</v>
      </c>
      <c r="O30" s="17" t="s">
        <v>7</v>
      </c>
    </row>
    <row r="31" customFormat="false" ht="15" hidden="false" customHeight="false" outlineLevel="0" collapsed="false">
      <c r="A31" s="9" t="s">
        <v>8</v>
      </c>
      <c r="B31" s="19" t="n">
        <f aca="false">B7-$B$3</f>
        <v>346004</v>
      </c>
      <c r="C31" s="11" t="n">
        <f aca="false">$B31/C$30</f>
        <v>346004</v>
      </c>
      <c r="D31" s="11" t="n">
        <f aca="false">$B31/D$30</f>
        <v>173002</v>
      </c>
      <c r="E31" s="11" t="n">
        <f aca="false">$B31/E$30</f>
        <v>115334.666666667</v>
      </c>
      <c r="F31" s="11" t="n">
        <f aca="false">$B31/F$30</f>
        <v>86501</v>
      </c>
      <c r="G31" s="11" t="n">
        <f aca="false">$B31/G$30</f>
        <v>69200.8</v>
      </c>
      <c r="H31" s="11" t="n">
        <f aca="false">$B31/H$30</f>
        <v>57667.3333333333</v>
      </c>
      <c r="I31" s="11" t="n">
        <f aca="false">$B31/I$30</f>
        <v>49429.1428571429</v>
      </c>
      <c r="J31" s="11" t="n">
        <f aca="false">$B31/J$30</f>
        <v>43250.5</v>
      </c>
      <c r="K31" s="11" t="n">
        <f aca="false">$B31/K$30</f>
        <v>38444.8888888889</v>
      </c>
      <c r="L31" s="11" t="n">
        <f aca="false">$B31/L$30</f>
        <v>34600.4</v>
      </c>
      <c r="M31" s="11" t="n">
        <f aca="false">$B31/M$30</f>
        <v>31454.9090909091</v>
      </c>
      <c r="N31" s="11" t="n">
        <f aca="false">$B31/N$30</f>
        <v>28833.6666666667</v>
      </c>
      <c r="O31" s="12" t="n">
        <v>4</v>
      </c>
    </row>
    <row r="32" customFormat="false" ht="15" hidden="false" customHeight="false" outlineLevel="0" collapsed="false">
      <c r="A32" s="9" t="s">
        <v>9</v>
      </c>
      <c r="B32" s="10" t="n">
        <f aca="false">B8</f>
        <v>387760</v>
      </c>
      <c r="C32" s="11" t="n">
        <f aca="false">$B32/C$30</f>
        <v>387760</v>
      </c>
      <c r="D32" s="11" t="n">
        <f aca="false">$B32/D$30</f>
        <v>193880</v>
      </c>
      <c r="E32" s="11" t="n">
        <f aca="false">$B32/E$30</f>
        <v>129253.333333333</v>
      </c>
      <c r="F32" s="11" t="n">
        <f aca="false">$B32/F$30</f>
        <v>96940</v>
      </c>
      <c r="G32" s="11" t="n">
        <f aca="false">$B32/G$30</f>
        <v>77552</v>
      </c>
      <c r="H32" s="11" t="n">
        <f aca="false">$B32/H$30</f>
        <v>64626.6666666667</v>
      </c>
      <c r="I32" s="11" t="n">
        <f aca="false">$B32/I$30</f>
        <v>55394.2857142857</v>
      </c>
      <c r="J32" s="11" t="n">
        <f aca="false">$B32/J$30</f>
        <v>48470</v>
      </c>
      <c r="K32" s="11" t="n">
        <f aca="false">$B32/K$30</f>
        <v>43084.4444444444</v>
      </c>
      <c r="L32" s="11" t="n">
        <f aca="false">$B32/L$30</f>
        <v>38776</v>
      </c>
      <c r="M32" s="11" t="n">
        <f aca="false">$B32/M$30</f>
        <v>35250.9090909091</v>
      </c>
      <c r="N32" s="11" t="n">
        <f aca="false">$B32/N$30</f>
        <v>32313.3333333333</v>
      </c>
      <c r="O32" s="12" t="n">
        <v>5</v>
      </c>
    </row>
    <row r="33" customFormat="false" ht="15" hidden="false" customHeight="false" outlineLevel="0" collapsed="false">
      <c r="A33" s="9" t="s">
        <v>10</v>
      </c>
      <c r="B33" s="19" t="n">
        <f aca="false">B9+$B$3</f>
        <v>148746</v>
      </c>
      <c r="C33" s="11" t="n">
        <f aca="false">$B33/C$30</f>
        <v>148746</v>
      </c>
      <c r="D33" s="11" t="n">
        <f aca="false">$B33/D$30</f>
        <v>74373</v>
      </c>
      <c r="E33" s="11" t="n">
        <f aca="false">$B33/E$30</f>
        <v>49582</v>
      </c>
      <c r="F33" s="11" t="n">
        <f aca="false">$B33/F$30</f>
        <v>37186.5</v>
      </c>
      <c r="G33" s="11" t="n">
        <f aca="false">$B33/G$30</f>
        <v>29749.2</v>
      </c>
      <c r="H33" s="11" t="n">
        <f aca="false">$B33/H$30</f>
        <v>24791</v>
      </c>
      <c r="I33" s="11" t="n">
        <f aca="false">$B33/I$30</f>
        <v>21249.4285714286</v>
      </c>
      <c r="J33" s="11" t="n">
        <f aca="false">$B33/J$30</f>
        <v>18593.25</v>
      </c>
      <c r="K33" s="11" t="n">
        <f aca="false">$B33/K$30</f>
        <v>16527.3333333333</v>
      </c>
      <c r="L33" s="11" t="n">
        <f aca="false">$B33/L$30</f>
        <v>14874.6</v>
      </c>
      <c r="M33" s="11" t="n">
        <f aca="false">$B33/M$30</f>
        <v>13522.3636363636</v>
      </c>
      <c r="N33" s="11" t="n">
        <f aca="false">$B33/N$30</f>
        <v>12395.5</v>
      </c>
      <c r="O33" s="12" t="n">
        <v>2</v>
      </c>
    </row>
    <row r="34" customFormat="false" ht="15" hidden="false" customHeight="false" outlineLevel="0" collapsed="false">
      <c r="A34" s="9" t="s">
        <v>11</v>
      </c>
      <c r="B34" s="10" t="n">
        <f aca="false">B10</f>
        <v>148745</v>
      </c>
      <c r="C34" s="11" t="n">
        <f aca="false">$B34/C$30</f>
        <v>148745</v>
      </c>
      <c r="D34" s="11" t="n">
        <f aca="false">$B34/D$30</f>
        <v>74372.5</v>
      </c>
      <c r="E34" s="11" t="n">
        <f aca="false">$B34/E$30</f>
        <v>49581.6666666667</v>
      </c>
      <c r="F34" s="11" t="n">
        <f aca="false">$B34/F$30</f>
        <v>37186.25</v>
      </c>
      <c r="G34" s="11" t="n">
        <f aca="false">$B34/G$30</f>
        <v>29749</v>
      </c>
      <c r="H34" s="11" t="n">
        <f aca="false">$B34/H$30</f>
        <v>24790.8333333333</v>
      </c>
      <c r="I34" s="11" t="n">
        <f aca="false">$B34/I$30</f>
        <v>21249.2857142857</v>
      </c>
      <c r="J34" s="11" t="n">
        <f aca="false">$B34/J$30</f>
        <v>18593.125</v>
      </c>
      <c r="K34" s="11" t="n">
        <f aca="false">$B34/K$30</f>
        <v>16527.2222222222</v>
      </c>
      <c r="L34" s="11" t="n">
        <f aca="false">$B34/L$30</f>
        <v>14874.5</v>
      </c>
      <c r="M34" s="11" t="n">
        <f aca="false">$B34/M$30</f>
        <v>13522.2727272727</v>
      </c>
      <c r="N34" s="11" t="n">
        <f aca="false">$B34/N$30</f>
        <v>12395.4166666667</v>
      </c>
      <c r="O34" s="12" t="n">
        <v>1</v>
      </c>
    </row>
    <row r="35" customFormat="false" ht="15" hidden="false" customHeight="false" outlineLevel="0" collapsed="false">
      <c r="A35" s="2" t="s">
        <v>12</v>
      </c>
      <c r="B35" s="13" t="n">
        <f aca="false">SUM(B31:B34)</f>
        <v>1031255</v>
      </c>
      <c r="O35" s="2" t="n">
        <f aca="false">SUM(O31:O34)</f>
        <v>12</v>
      </c>
      <c r="P35" s="2" t="str">
        <f aca="false">IF(O35=$B$2,"✔ suma = escaños","✘ revisar")</f>
        <v>✔ suma = escaños</v>
      </c>
    </row>
    <row r="37" customFormat="false" ht="15" hidden="false" customHeight="false" outlineLevel="0" collapsed="false">
      <c r="A37" s="2" t="s">
        <v>13</v>
      </c>
    </row>
    <row r="38" customFormat="false" ht="15" hidden="false" customHeight="false" outlineLevel="0" collapsed="false">
      <c r="A38" s="17" t="s">
        <v>14</v>
      </c>
      <c r="B38" s="17" t="s">
        <v>5</v>
      </c>
      <c r="C38" s="17" t="s">
        <v>15</v>
      </c>
      <c r="D38" s="17" t="s">
        <v>16</v>
      </c>
    </row>
    <row r="39" customFormat="false" ht="15" hidden="false" customHeight="false" outlineLevel="0" collapsed="false">
      <c r="A39" s="14" t="n">
        <v>1</v>
      </c>
      <c r="B39" s="12" t="s">
        <v>9</v>
      </c>
      <c r="C39" s="14" t="n">
        <v>1</v>
      </c>
      <c r="D39" s="15" t="n">
        <f aca="false">INDEX($B$31:$B$34,MATCH(B39,$A$31:$A$34,0))/C39</f>
        <v>387760</v>
      </c>
    </row>
    <row r="40" customFormat="false" ht="15" hidden="false" customHeight="false" outlineLevel="0" collapsed="false">
      <c r="A40" s="14" t="n">
        <v>2</v>
      </c>
      <c r="B40" s="12" t="s">
        <v>8</v>
      </c>
      <c r="C40" s="14" t="n">
        <v>1</v>
      </c>
      <c r="D40" s="15" t="n">
        <f aca="false">INDEX($B$31:$B$34,MATCH(B40,$A$31:$A$34,0))/C40</f>
        <v>346004</v>
      </c>
    </row>
    <row r="41" customFormat="false" ht="15" hidden="false" customHeight="false" outlineLevel="0" collapsed="false">
      <c r="A41" s="14" t="n">
        <v>3</v>
      </c>
      <c r="B41" s="12" t="s">
        <v>9</v>
      </c>
      <c r="C41" s="14" t="n">
        <v>2</v>
      </c>
      <c r="D41" s="15" t="n">
        <f aca="false">INDEX($B$31:$B$34,MATCH(B41,$A$31:$A$34,0))/C41</f>
        <v>193880</v>
      </c>
    </row>
    <row r="42" customFormat="false" ht="15" hidden="false" customHeight="false" outlineLevel="0" collapsed="false">
      <c r="A42" s="14" t="n">
        <v>4</v>
      </c>
      <c r="B42" s="12" t="s">
        <v>8</v>
      </c>
      <c r="C42" s="14" t="n">
        <v>2</v>
      </c>
      <c r="D42" s="15" t="n">
        <f aca="false">INDEX($B$31:$B$34,MATCH(B42,$A$31:$A$34,0))/C42</f>
        <v>173002</v>
      </c>
    </row>
    <row r="43" customFormat="false" ht="15" hidden="false" customHeight="false" outlineLevel="0" collapsed="false">
      <c r="A43" s="14" t="n">
        <v>5</v>
      </c>
      <c r="B43" s="12" t="s">
        <v>10</v>
      </c>
      <c r="C43" s="14" t="n">
        <v>1</v>
      </c>
      <c r="D43" s="15" t="n">
        <f aca="false">INDEX($B$31:$B$34,MATCH(B43,$A$31:$A$34,0))/C43</f>
        <v>148746</v>
      </c>
    </row>
    <row r="44" customFormat="false" ht="15" hidden="false" customHeight="false" outlineLevel="0" collapsed="false">
      <c r="A44" s="14" t="n">
        <v>6</v>
      </c>
      <c r="B44" s="12" t="s">
        <v>11</v>
      </c>
      <c r="C44" s="14" t="n">
        <v>1</v>
      </c>
      <c r="D44" s="15" t="n">
        <f aca="false">INDEX($B$31:$B$34,MATCH(B44,$A$31:$A$34,0))/C44</f>
        <v>148745</v>
      </c>
    </row>
    <row r="45" customFormat="false" ht="15" hidden="false" customHeight="false" outlineLevel="0" collapsed="false">
      <c r="A45" s="14" t="n">
        <v>7</v>
      </c>
      <c r="B45" s="12" t="s">
        <v>9</v>
      </c>
      <c r="C45" s="14" t="n">
        <v>3</v>
      </c>
      <c r="D45" s="15" t="n">
        <f aca="false">INDEX($B$31:$B$34,MATCH(B45,$A$31:$A$34,0))/C45</f>
        <v>129253.333333333</v>
      </c>
    </row>
    <row r="46" customFormat="false" ht="15" hidden="false" customHeight="false" outlineLevel="0" collapsed="false">
      <c r="A46" s="14" t="n">
        <v>8</v>
      </c>
      <c r="B46" s="12" t="s">
        <v>8</v>
      </c>
      <c r="C46" s="14" t="n">
        <v>3</v>
      </c>
      <c r="D46" s="15" t="n">
        <f aca="false">INDEX($B$31:$B$34,MATCH(B46,$A$31:$A$34,0))/C46</f>
        <v>115334.666666667</v>
      </c>
    </row>
    <row r="47" customFormat="false" ht="15" hidden="false" customHeight="false" outlineLevel="0" collapsed="false">
      <c r="A47" s="14" t="n">
        <v>9</v>
      </c>
      <c r="B47" s="12" t="s">
        <v>9</v>
      </c>
      <c r="C47" s="14" t="n">
        <v>4</v>
      </c>
      <c r="D47" s="15" t="n">
        <f aca="false">INDEX($B$31:$B$34,MATCH(B47,$A$31:$A$34,0))/C47</f>
        <v>96940</v>
      </c>
    </row>
    <row r="48" customFormat="false" ht="15" hidden="false" customHeight="false" outlineLevel="0" collapsed="false">
      <c r="A48" s="14" t="n">
        <v>10</v>
      </c>
      <c r="B48" s="12" t="s">
        <v>8</v>
      </c>
      <c r="C48" s="14" t="n">
        <v>4</v>
      </c>
      <c r="D48" s="15" t="n">
        <f aca="false">INDEX($B$31:$B$34,MATCH(B48,$A$31:$A$34,0))/C48</f>
        <v>86501</v>
      </c>
    </row>
    <row r="49" customFormat="false" ht="15" hidden="false" customHeight="false" outlineLevel="0" collapsed="false">
      <c r="A49" s="14" t="n">
        <v>11</v>
      </c>
      <c r="B49" s="12" t="s">
        <v>9</v>
      </c>
      <c r="C49" s="14" t="n">
        <v>5</v>
      </c>
      <c r="D49" s="15" t="n">
        <f aca="false">INDEX($B$31:$B$34,MATCH(B49,$A$31:$A$34,0))/C49</f>
        <v>77552</v>
      </c>
    </row>
    <row r="50" customFormat="false" ht="15" hidden="false" customHeight="false" outlineLevel="0" collapsed="false">
      <c r="A50" s="14" t="n">
        <v>12</v>
      </c>
      <c r="B50" s="12" t="s">
        <v>10</v>
      </c>
      <c r="C50" s="14" t="n">
        <v>2</v>
      </c>
      <c r="D50" s="15" t="n">
        <f aca="false">INDEX($B$31:$B$34,MATCH(B50,$A$31:$A$34,0))/C50</f>
        <v>74373</v>
      </c>
    </row>
    <row r="51" customFormat="false" ht="15" hidden="false" customHeight="false" outlineLevel="0" collapsed="false">
      <c r="A51" s="16" t="s">
        <v>17</v>
      </c>
      <c r="B51" s="12" t="s">
        <v>11</v>
      </c>
      <c r="C51" s="12" t="n">
        <v>2</v>
      </c>
      <c r="D51" s="11" t="n">
        <f aca="false">INDEX($B$31:$B$34,MATCH(B51,$A$31:$A$34,0))/C51</f>
        <v>74372.5</v>
      </c>
    </row>
    <row r="54" customFormat="false" ht="15" hidden="false" customHeight="false" outlineLevel="0" collapsed="false">
      <c r="A54" s="5" t="s">
        <v>19</v>
      </c>
    </row>
  </sheetData>
  <conditionalFormatting sqref="C7:N10">
    <cfRule type="expression" priority="2" aboveAverage="0" equalAverage="0" bottom="0" percent="0" rank="0" text="" dxfId="0">
      <formula>C$6&lt;=$O7</formula>
    </cfRule>
  </conditionalFormatting>
  <conditionalFormatting sqref="C31:N34">
    <cfRule type="expression" priority="3" aboveAverage="0" equalAverage="0" bottom="0" percent="0" rank="0" text="" dxfId="0">
      <formula>C$30&lt;=$O31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2" min="12" style="0" width="20"/>
  </cols>
  <sheetData>
    <row r="1" customFormat="false" ht="16.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1</v>
      </c>
      <c r="B2" s="3" t="n">
        <v>8</v>
      </c>
    </row>
    <row r="3" customFormat="false" ht="15" hidden="false" customHeight="false" outlineLevel="0" collapsed="false">
      <c r="A3" s="2" t="s">
        <v>2</v>
      </c>
      <c r="B3" s="4" t="n">
        <v>24644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8" t="n">
        <v>8</v>
      </c>
      <c r="K6" s="7" t="s">
        <v>7</v>
      </c>
    </row>
    <row r="7" customFormat="false" ht="15" hidden="false" customHeight="false" outlineLevel="0" collapsed="false">
      <c r="A7" s="9" t="s">
        <v>8</v>
      </c>
      <c r="B7" s="10" t="n">
        <v>179303</v>
      </c>
      <c r="C7" s="11" t="n">
        <f aca="false">$B7/C$6</f>
        <v>179303</v>
      </c>
      <c r="D7" s="11" t="n">
        <f aca="false">$B7/D$6</f>
        <v>89651.5</v>
      </c>
      <c r="E7" s="11" t="n">
        <f aca="false">$B7/E$6</f>
        <v>59767.6666666667</v>
      </c>
      <c r="F7" s="11" t="n">
        <f aca="false">$B7/F$6</f>
        <v>44825.75</v>
      </c>
      <c r="G7" s="11" t="n">
        <f aca="false">$B7/G$6</f>
        <v>35860.6</v>
      </c>
      <c r="H7" s="11" t="n">
        <f aca="false">$B7/H$6</f>
        <v>29883.8333333333</v>
      </c>
      <c r="I7" s="11" t="n">
        <f aca="false">$B7/I$6</f>
        <v>25614.7142857143</v>
      </c>
      <c r="J7" s="11" t="n">
        <f aca="false">$B7/J$6</f>
        <v>22412.875</v>
      </c>
      <c r="K7" s="12" t="n">
        <v>3</v>
      </c>
    </row>
    <row r="8" customFormat="false" ht="15" hidden="false" customHeight="false" outlineLevel="0" collapsed="false">
      <c r="A8" s="9" t="s">
        <v>9</v>
      </c>
      <c r="B8" s="10" t="n">
        <v>151786</v>
      </c>
      <c r="C8" s="11" t="n">
        <f aca="false">$B8/C$6</f>
        <v>151786</v>
      </c>
      <c r="D8" s="11" t="n">
        <f aca="false">$B8/D$6</f>
        <v>75893</v>
      </c>
      <c r="E8" s="11" t="n">
        <f aca="false">$B8/E$6</f>
        <v>50595.3333333333</v>
      </c>
      <c r="F8" s="11" t="n">
        <f aca="false">$B8/F$6</f>
        <v>37946.5</v>
      </c>
      <c r="G8" s="11" t="n">
        <f aca="false">$B8/G$6</f>
        <v>30357.2</v>
      </c>
      <c r="H8" s="11" t="n">
        <f aca="false">$B8/H$6</f>
        <v>25297.6666666667</v>
      </c>
      <c r="I8" s="11" t="n">
        <f aca="false">$B8/I$6</f>
        <v>21683.7142857143</v>
      </c>
      <c r="J8" s="11" t="n">
        <f aca="false">$B8/J$6</f>
        <v>18973.25</v>
      </c>
      <c r="K8" s="12" t="n">
        <v>3</v>
      </c>
    </row>
    <row r="9" customFormat="false" ht="15" hidden="false" customHeight="false" outlineLevel="0" collapsed="false">
      <c r="A9" s="9" t="s">
        <v>10</v>
      </c>
      <c r="B9" s="10" t="n">
        <v>76547</v>
      </c>
      <c r="C9" s="11" t="n">
        <f aca="false">$B9/C$6</f>
        <v>76547</v>
      </c>
      <c r="D9" s="11" t="n">
        <f aca="false">$B9/D$6</f>
        <v>38273.5</v>
      </c>
      <c r="E9" s="11" t="n">
        <f aca="false">$B9/E$6</f>
        <v>25515.6666666667</v>
      </c>
      <c r="F9" s="11" t="n">
        <f aca="false">$B9/F$6</f>
        <v>19136.75</v>
      </c>
      <c r="G9" s="11" t="n">
        <f aca="false">$B9/G$6</f>
        <v>15309.4</v>
      </c>
      <c r="H9" s="11" t="n">
        <f aca="false">$B9/H$6</f>
        <v>12757.8333333333</v>
      </c>
      <c r="I9" s="11" t="n">
        <f aca="false">$B9/I$6</f>
        <v>10935.2857142857</v>
      </c>
      <c r="J9" s="11" t="n">
        <f aca="false">$B9/J$6</f>
        <v>9568.375</v>
      </c>
      <c r="K9" s="12" t="n">
        <v>1</v>
      </c>
    </row>
    <row r="10" customFormat="false" ht="15" hidden="false" customHeight="false" outlineLevel="0" collapsed="false">
      <c r="A10" s="9" t="s">
        <v>11</v>
      </c>
      <c r="B10" s="10" t="n">
        <v>83487</v>
      </c>
      <c r="C10" s="11" t="n">
        <f aca="false">$B10/C$6</f>
        <v>83487</v>
      </c>
      <c r="D10" s="11" t="n">
        <f aca="false">$B10/D$6</f>
        <v>41743.5</v>
      </c>
      <c r="E10" s="11" t="n">
        <f aca="false">$B10/E$6</f>
        <v>27829</v>
      </c>
      <c r="F10" s="11" t="n">
        <f aca="false">$B10/F$6</f>
        <v>20871.75</v>
      </c>
      <c r="G10" s="11" t="n">
        <f aca="false">$B10/G$6</f>
        <v>16697.4</v>
      </c>
      <c r="H10" s="11" t="n">
        <f aca="false">$B10/H$6</f>
        <v>13914.5</v>
      </c>
      <c r="I10" s="11" t="n">
        <f aca="false">$B10/I$6</f>
        <v>11926.7142857143</v>
      </c>
      <c r="J10" s="11" t="n">
        <f aca="false">$B10/J$6</f>
        <v>10435.875</v>
      </c>
      <c r="K10" s="12" t="n">
        <v>1</v>
      </c>
    </row>
    <row r="11" customFormat="false" ht="15" hidden="false" customHeight="false" outlineLevel="0" collapsed="false">
      <c r="A11" s="2" t="s">
        <v>12</v>
      </c>
      <c r="B11" s="13" t="n">
        <f aca="false">SUM(B7:B10)</f>
        <v>491123</v>
      </c>
      <c r="K11" s="2" t="n">
        <f aca="false">SUM(K7:K10)</f>
        <v>8</v>
      </c>
      <c r="L11" s="2" t="str">
        <f aca="false">IF(K11=$B$2,"✔ suma = escaños","✘ revisar")</f>
        <v>✔ suma = escaños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7" t="s">
        <v>14</v>
      </c>
      <c r="B14" s="7" t="s">
        <v>5</v>
      </c>
      <c r="C14" s="7" t="s">
        <v>15</v>
      </c>
      <c r="D14" s="7" t="s">
        <v>16</v>
      </c>
    </row>
    <row r="15" customFormat="false" ht="15" hidden="false" customHeight="false" outlineLevel="0" collapsed="false">
      <c r="A15" s="14" t="n">
        <v>1</v>
      </c>
      <c r="B15" s="12" t="s">
        <v>8</v>
      </c>
      <c r="C15" s="14" t="n">
        <v>1</v>
      </c>
      <c r="D15" s="15" t="n">
        <f aca="false">INDEX($B$7:$B$10,MATCH(B15,$A$7:$A$10,0))/C15</f>
        <v>179303</v>
      </c>
    </row>
    <row r="16" customFormat="false" ht="15" hidden="false" customHeight="false" outlineLevel="0" collapsed="false">
      <c r="A16" s="14" t="n">
        <v>2</v>
      </c>
      <c r="B16" s="12" t="s">
        <v>9</v>
      </c>
      <c r="C16" s="14" t="n">
        <v>1</v>
      </c>
      <c r="D16" s="15" t="n">
        <f aca="false">INDEX($B$7:$B$10,MATCH(B16,$A$7:$A$10,0))/C16</f>
        <v>151786</v>
      </c>
    </row>
    <row r="17" customFormat="false" ht="15" hidden="false" customHeight="false" outlineLevel="0" collapsed="false">
      <c r="A17" s="14" t="n">
        <v>3</v>
      </c>
      <c r="B17" s="12" t="s">
        <v>8</v>
      </c>
      <c r="C17" s="14" t="n">
        <v>2</v>
      </c>
      <c r="D17" s="15" t="n">
        <f aca="false">INDEX($B$7:$B$10,MATCH(B17,$A$7:$A$10,0))/C17</f>
        <v>89651.5</v>
      </c>
    </row>
    <row r="18" customFormat="false" ht="15" hidden="false" customHeight="false" outlineLevel="0" collapsed="false">
      <c r="A18" s="14" t="n">
        <v>4</v>
      </c>
      <c r="B18" s="12" t="s">
        <v>11</v>
      </c>
      <c r="C18" s="14" t="n">
        <v>1</v>
      </c>
      <c r="D18" s="15" t="n">
        <f aca="false">INDEX($B$7:$B$10,MATCH(B18,$A$7:$A$10,0))/C18</f>
        <v>83487</v>
      </c>
    </row>
    <row r="19" customFormat="false" ht="15" hidden="false" customHeight="false" outlineLevel="0" collapsed="false">
      <c r="A19" s="14" t="n">
        <v>5</v>
      </c>
      <c r="B19" s="12" t="s">
        <v>10</v>
      </c>
      <c r="C19" s="14" t="n">
        <v>1</v>
      </c>
      <c r="D19" s="15" t="n">
        <f aca="false">INDEX($B$7:$B$10,MATCH(B19,$A$7:$A$10,0))/C19</f>
        <v>76547</v>
      </c>
    </row>
    <row r="20" customFormat="false" ht="15" hidden="false" customHeight="false" outlineLevel="0" collapsed="false">
      <c r="A20" s="14" t="n">
        <v>6</v>
      </c>
      <c r="B20" s="12" t="s">
        <v>9</v>
      </c>
      <c r="C20" s="14" t="n">
        <v>2</v>
      </c>
      <c r="D20" s="15" t="n">
        <f aca="false">INDEX($B$7:$B$10,MATCH(B20,$A$7:$A$10,0))/C20</f>
        <v>75893</v>
      </c>
    </row>
    <row r="21" customFormat="false" ht="15" hidden="false" customHeight="false" outlineLevel="0" collapsed="false">
      <c r="A21" s="14" t="n">
        <v>7</v>
      </c>
      <c r="B21" s="12" t="s">
        <v>8</v>
      </c>
      <c r="C21" s="14" t="n">
        <v>3</v>
      </c>
      <c r="D21" s="15" t="n">
        <f aca="false">INDEX($B$7:$B$10,MATCH(B21,$A$7:$A$10,0))/C21</f>
        <v>59767.6666666667</v>
      </c>
    </row>
    <row r="22" customFormat="false" ht="15" hidden="false" customHeight="false" outlineLevel="0" collapsed="false">
      <c r="A22" s="14" t="n">
        <v>8</v>
      </c>
      <c r="B22" s="12" t="s">
        <v>9</v>
      </c>
      <c r="C22" s="14" t="n">
        <v>3</v>
      </c>
      <c r="D22" s="15" t="n">
        <f aca="false">INDEX($B$7:$B$10,MATCH(B22,$A$7:$A$10,0))/C22</f>
        <v>50595.3333333333</v>
      </c>
    </row>
    <row r="23" customFormat="false" ht="15" hidden="false" customHeight="false" outlineLevel="0" collapsed="false">
      <c r="A23" s="16" t="s">
        <v>17</v>
      </c>
      <c r="B23" s="12" t="s">
        <v>8</v>
      </c>
      <c r="C23" s="12" t="n">
        <v>4</v>
      </c>
      <c r="D23" s="11" t="n">
        <f aca="false">INDEX($B$7:$B$10,MATCH(B23,$A$7:$A$10,0))/C23</f>
        <v>44825.75</v>
      </c>
    </row>
    <row r="25" customFormat="false" ht="15" hidden="false" customHeight="false" outlineLevel="0" collapsed="false">
      <c r="A25" s="6" t="s">
        <v>18</v>
      </c>
    </row>
    <row r="26" customFormat="false" ht="15" hidden="false" customHeight="false" outlineLevel="0" collapsed="false">
      <c r="A26" s="17" t="s">
        <v>5</v>
      </c>
      <c r="B26" s="17" t="s">
        <v>6</v>
      </c>
      <c r="C26" s="18" t="n">
        <v>1</v>
      </c>
      <c r="D26" s="18" t="n">
        <v>2</v>
      </c>
      <c r="E26" s="18" t="n">
        <v>3</v>
      </c>
      <c r="F26" s="18" t="n">
        <v>4</v>
      </c>
      <c r="G26" s="18" t="n">
        <v>5</v>
      </c>
      <c r="H26" s="18" t="n">
        <v>6</v>
      </c>
      <c r="I26" s="18" t="n">
        <v>7</v>
      </c>
      <c r="J26" s="18" t="n">
        <v>8</v>
      </c>
      <c r="K26" s="17" t="s">
        <v>7</v>
      </c>
    </row>
    <row r="27" customFormat="false" ht="15" hidden="false" customHeight="false" outlineLevel="0" collapsed="false">
      <c r="A27" s="9" t="s">
        <v>8</v>
      </c>
      <c r="B27" s="19" t="n">
        <f aca="false">B7-$B$3</f>
        <v>154659</v>
      </c>
      <c r="C27" s="11" t="n">
        <f aca="false">$B27/C$26</f>
        <v>154659</v>
      </c>
      <c r="D27" s="11" t="n">
        <f aca="false">$B27/D$26</f>
        <v>77329.5</v>
      </c>
      <c r="E27" s="11" t="n">
        <f aca="false">$B27/E$26</f>
        <v>51553</v>
      </c>
      <c r="F27" s="11" t="n">
        <f aca="false">$B27/F$26</f>
        <v>38664.75</v>
      </c>
      <c r="G27" s="11" t="n">
        <f aca="false">$B27/G$26</f>
        <v>30931.8</v>
      </c>
      <c r="H27" s="11" t="n">
        <f aca="false">$B27/H$26</f>
        <v>25776.5</v>
      </c>
      <c r="I27" s="11" t="n">
        <f aca="false">$B27/I$26</f>
        <v>22094.1428571429</v>
      </c>
      <c r="J27" s="11" t="n">
        <f aca="false">$B27/J$26</f>
        <v>19332.375</v>
      </c>
      <c r="K27" s="12" t="n">
        <v>3</v>
      </c>
    </row>
    <row r="28" customFormat="false" ht="15" hidden="false" customHeight="false" outlineLevel="0" collapsed="false">
      <c r="A28" s="9" t="s">
        <v>9</v>
      </c>
      <c r="B28" s="10" t="n">
        <f aca="false">B8</f>
        <v>151786</v>
      </c>
      <c r="C28" s="11" t="n">
        <f aca="false">$B28/C$26</f>
        <v>151786</v>
      </c>
      <c r="D28" s="11" t="n">
        <f aca="false">$B28/D$26</f>
        <v>75893</v>
      </c>
      <c r="E28" s="11" t="n">
        <f aca="false">$B28/E$26</f>
        <v>50595.3333333333</v>
      </c>
      <c r="F28" s="11" t="n">
        <f aca="false">$B28/F$26</f>
        <v>37946.5</v>
      </c>
      <c r="G28" s="11" t="n">
        <f aca="false">$B28/G$26</f>
        <v>30357.2</v>
      </c>
      <c r="H28" s="11" t="n">
        <f aca="false">$B28/H$26</f>
        <v>25297.6666666667</v>
      </c>
      <c r="I28" s="11" t="n">
        <f aca="false">$B28/I$26</f>
        <v>21683.7142857143</v>
      </c>
      <c r="J28" s="11" t="n">
        <f aca="false">$B28/J$26</f>
        <v>18973.25</v>
      </c>
      <c r="K28" s="12" t="n">
        <v>2</v>
      </c>
    </row>
    <row r="29" customFormat="false" ht="15" hidden="false" customHeight="false" outlineLevel="0" collapsed="false">
      <c r="A29" s="9" t="s">
        <v>10</v>
      </c>
      <c r="B29" s="19" t="n">
        <f aca="false">B9+$B$3</f>
        <v>101191</v>
      </c>
      <c r="C29" s="11" t="n">
        <f aca="false">$B29/C$26</f>
        <v>101191</v>
      </c>
      <c r="D29" s="11" t="n">
        <f aca="false">$B29/D$26</f>
        <v>50595.5</v>
      </c>
      <c r="E29" s="11" t="n">
        <f aca="false">$B29/E$26</f>
        <v>33730.3333333333</v>
      </c>
      <c r="F29" s="11" t="n">
        <f aca="false">$B29/F$26</f>
        <v>25297.75</v>
      </c>
      <c r="G29" s="11" t="n">
        <f aca="false">$B29/G$26</f>
        <v>20238.2</v>
      </c>
      <c r="H29" s="11" t="n">
        <f aca="false">$B29/H$26</f>
        <v>16865.1666666667</v>
      </c>
      <c r="I29" s="11" t="n">
        <f aca="false">$B29/I$26</f>
        <v>14455.8571428571</v>
      </c>
      <c r="J29" s="11" t="n">
        <f aca="false">$B29/J$26</f>
        <v>12648.875</v>
      </c>
      <c r="K29" s="12" t="n">
        <v>2</v>
      </c>
    </row>
    <row r="30" customFormat="false" ht="15" hidden="false" customHeight="false" outlineLevel="0" collapsed="false">
      <c r="A30" s="9" t="s">
        <v>11</v>
      </c>
      <c r="B30" s="10" t="n">
        <f aca="false">B10</f>
        <v>83487</v>
      </c>
      <c r="C30" s="11" t="n">
        <f aca="false">$B30/C$26</f>
        <v>83487</v>
      </c>
      <c r="D30" s="11" t="n">
        <f aca="false">$B30/D$26</f>
        <v>41743.5</v>
      </c>
      <c r="E30" s="11" t="n">
        <f aca="false">$B30/E$26</f>
        <v>27829</v>
      </c>
      <c r="F30" s="11" t="n">
        <f aca="false">$B30/F$26</f>
        <v>20871.75</v>
      </c>
      <c r="G30" s="11" t="n">
        <f aca="false">$B30/G$26</f>
        <v>16697.4</v>
      </c>
      <c r="H30" s="11" t="n">
        <f aca="false">$B30/H$26</f>
        <v>13914.5</v>
      </c>
      <c r="I30" s="11" t="n">
        <f aca="false">$B30/I$26</f>
        <v>11926.7142857143</v>
      </c>
      <c r="J30" s="11" t="n">
        <f aca="false">$B30/J$26</f>
        <v>10435.875</v>
      </c>
      <c r="K30" s="12" t="n">
        <v>1</v>
      </c>
    </row>
    <row r="31" customFormat="false" ht="15" hidden="false" customHeight="false" outlineLevel="0" collapsed="false">
      <c r="A31" s="2" t="s">
        <v>12</v>
      </c>
      <c r="B31" s="13" t="n">
        <f aca="false">SUM(B27:B30)</f>
        <v>491123</v>
      </c>
      <c r="K31" s="2" t="n">
        <f aca="false">SUM(K27:K30)</f>
        <v>8</v>
      </c>
      <c r="L31" s="2" t="str">
        <f aca="false">IF(K31=$B$2,"✔ suma = escaños","✘ revisar")</f>
        <v>✔ suma = escaños</v>
      </c>
    </row>
    <row r="33" customFormat="false" ht="15" hidden="false" customHeight="false" outlineLevel="0" collapsed="false">
      <c r="A33" s="2" t="s">
        <v>13</v>
      </c>
    </row>
    <row r="34" customFormat="false" ht="15" hidden="false" customHeight="false" outlineLevel="0" collapsed="false">
      <c r="A34" s="17" t="s">
        <v>14</v>
      </c>
      <c r="B34" s="17" t="s">
        <v>5</v>
      </c>
      <c r="C34" s="17" t="s">
        <v>15</v>
      </c>
      <c r="D34" s="17" t="s">
        <v>16</v>
      </c>
    </row>
    <row r="35" customFormat="false" ht="15" hidden="false" customHeight="false" outlineLevel="0" collapsed="false">
      <c r="A35" s="14" t="n">
        <v>1</v>
      </c>
      <c r="B35" s="12" t="s">
        <v>8</v>
      </c>
      <c r="C35" s="14" t="n">
        <v>1</v>
      </c>
      <c r="D35" s="15" t="n">
        <f aca="false">INDEX($B$27:$B$30,MATCH(B35,$A$27:$A$30,0))/C35</f>
        <v>154659</v>
      </c>
    </row>
    <row r="36" customFormat="false" ht="15" hidden="false" customHeight="false" outlineLevel="0" collapsed="false">
      <c r="A36" s="14" t="n">
        <v>2</v>
      </c>
      <c r="B36" s="12" t="s">
        <v>9</v>
      </c>
      <c r="C36" s="14" t="n">
        <v>1</v>
      </c>
      <c r="D36" s="15" t="n">
        <f aca="false">INDEX($B$27:$B$30,MATCH(B36,$A$27:$A$30,0))/C36</f>
        <v>151786</v>
      </c>
    </row>
    <row r="37" customFormat="false" ht="15" hidden="false" customHeight="false" outlineLevel="0" collapsed="false">
      <c r="A37" s="14" t="n">
        <v>3</v>
      </c>
      <c r="B37" s="12" t="s">
        <v>10</v>
      </c>
      <c r="C37" s="14" t="n">
        <v>1</v>
      </c>
      <c r="D37" s="15" t="n">
        <f aca="false">INDEX($B$27:$B$30,MATCH(B37,$A$27:$A$30,0))/C37</f>
        <v>101191</v>
      </c>
    </row>
    <row r="38" customFormat="false" ht="15" hidden="false" customHeight="false" outlineLevel="0" collapsed="false">
      <c r="A38" s="14" t="n">
        <v>4</v>
      </c>
      <c r="B38" s="12" t="s">
        <v>11</v>
      </c>
      <c r="C38" s="14" t="n">
        <v>1</v>
      </c>
      <c r="D38" s="15" t="n">
        <f aca="false">INDEX($B$27:$B$30,MATCH(B38,$A$27:$A$30,0))/C38</f>
        <v>83487</v>
      </c>
    </row>
    <row r="39" customFormat="false" ht="15" hidden="false" customHeight="false" outlineLevel="0" collapsed="false">
      <c r="A39" s="14" t="n">
        <v>5</v>
      </c>
      <c r="B39" s="12" t="s">
        <v>8</v>
      </c>
      <c r="C39" s="14" t="n">
        <v>2</v>
      </c>
      <c r="D39" s="15" t="n">
        <f aca="false">INDEX($B$27:$B$30,MATCH(B39,$A$27:$A$30,0))/C39</f>
        <v>77329.5</v>
      </c>
    </row>
    <row r="40" customFormat="false" ht="15" hidden="false" customHeight="false" outlineLevel="0" collapsed="false">
      <c r="A40" s="14" t="n">
        <v>6</v>
      </c>
      <c r="B40" s="12" t="s">
        <v>9</v>
      </c>
      <c r="C40" s="14" t="n">
        <v>2</v>
      </c>
      <c r="D40" s="15" t="n">
        <f aca="false">INDEX($B$27:$B$30,MATCH(B40,$A$27:$A$30,0))/C40</f>
        <v>75893</v>
      </c>
    </row>
    <row r="41" customFormat="false" ht="15" hidden="false" customHeight="false" outlineLevel="0" collapsed="false">
      <c r="A41" s="14" t="n">
        <v>7</v>
      </c>
      <c r="B41" s="12" t="s">
        <v>8</v>
      </c>
      <c r="C41" s="14" t="n">
        <v>3</v>
      </c>
      <c r="D41" s="15" t="n">
        <f aca="false">INDEX($B$27:$B$30,MATCH(B41,$A$27:$A$30,0))/C41</f>
        <v>51553</v>
      </c>
    </row>
    <row r="42" customFormat="false" ht="15" hidden="false" customHeight="false" outlineLevel="0" collapsed="false">
      <c r="A42" s="14" t="n">
        <v>8</v>
      </c>
      <c r="B42" s="12" t="s">
        <v>10</v>
      </c>
      <c r="C42" s="14" t="n">
        <v>2</v>
      </c>
      <c r="D42" s="15" t="n">
        <f aca="false">INDEX($B$27:$B$30,MATCH(B42,$A$27:$A$30,0))/C42</f>
        <v>50595.5</v>
      </c>
    </row>
    <row r="43" customFormat="false" ht="15" hidden="false" customHeight="false" outlineLevel="0" collapsed="false">
      <c r="A43" s="16" t="s">
        <v>17</v>
      </c>
      <c r="B43" s="12" t="s">
        <v>9</v>
      </c>
      <c r="C43" s="12" t="n">
        <v>3</v>
      </c>
      <c r="D43" s="11" t="n">
        <f aca="false">INDEX($B$27:$B$30,MATCH(B43,$A$27:$A$30,0))/C43</f>
        <v>50595.3333333333</v>
      </c>
    </row>
    <row r="46" customFormat="false" ht="15" hidden="false" customHeight="false" outlineLevel="0" collapsed="false">
      <c r="A46" s="5" t="s">
        <v>19</v>
      </c>
    </row>
  </sheetData>
  <conditionalFormatting sqref="C7:J10">
    <cfRule type="expression" priority="2" aboveAverage="0" equalAverage="0" bottom="0" percent="0" rank="0" text="" dxfId="0">
      <formula>C$6&lt;=$K7</formula>
    </cfRule>
  </conditionalFormatting>
  <conditionalFormatting sqref="C27:J30">
    <cfRule type="expression" priority="3" aboveAverage="0" equalAverage="0" bottom="0" percent="0" rank="0" text="" dxfId="0">
      <formula>C$26&lt;=$K27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  <c r="B3" s="4" t="n">
        <v>1412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7" t="s">
        <v>7</v>
      </c>
    </row>
    <row r="7" customFormat="false" ht="15" hidden="false" customHeight="false" outlineLevel="0" collapsed="false">
      <c r="A7" s="9" t="s">
        <v>8</v>
      </c>
      <c r="B7" s="10" t="n">
        <v>88299</v>
      </c>
      <c r="C7" s="11" t="n">
        <f aca="false">$B7/C$6</f>
        <v>88299</v>
      </c>
      <c r="D7" s="11" t="n">
        <f aca="false">$B7/D$6</f>
        <v>44149.5</v>
      </c>
      <c r="E7" s="11" t="n">
        <f aca="false">$B7/E$6</f>
        <v>29433</v>
      </c>
      <c r="F7" s="11" t="n">
        <f aca="false">$B7/F$6</f>
        <v>22074.75</v>
      </c>
      <c r="G7" s="12" t="n">
        <v>2</v>
      </c>
    </row>
    <row r="8" customFormat="false" ht="15" hidden="false" customHeight="false" outlineLevel="0" collapsed="false">
      <c r="A8" s="9" t="s">
        <v>9</v>
      </c>
      <c r="B8" s="10" t="n">
        <v>76322</v>
      </c>
      <c r="C8" s="11" t="n">
        <f aca="false">$B8/C$6</f>
        <v>76322</v>
      </c>
      <c r="D8" s="11" t="n">
        <f aca="false">$B8/D$6</f>
        <v>38161</v>
      </c>
      <c r="E8" s="11" t="n">
        <f aca="false">$B8/E$6</f>
        <v>25440.6666666667</v>
      </c>
      <c r="F8" s="11" t="n">
        <f aca="false">$B8/F$6</f>
        <v>19080.5</v>
      </c>
      <c r="G8" s="12" t="n">
        <v>2</v>
      </c>
    </row>
    <row r="9" customFormat="false" ht="15" hidden="false" customHeight="false" outlineLevel="0" collapsed="false">
      <c r="A9" s="9" t="s">
        <v>10</v>
      </c>
      <c r="B9" s="10" t="n">
        <v>36750</v>
      </c>
      <c r="C9" s="11" t="n">
        <f aca="false">$B9/C$6</f>
        <v>36750</v>
      </c>
      <c r="D9" s="11" t="n">
        <f aca="false">$B9/D$6</f>
        <v>18375</v>
      </c>
      <c r="E9" s="11" t="n">
        <f aca="false">$B9/E$6</f>
        <v>12250</v>
      </c>
      <c r="F9" s="11" t="n">
        <f aca="false">$B9/F$6</f>
        <v>9187.5</v>
      </c>
      <c r="G9" s="12" t="n">
        <v>0</v>
      </c>
    </row>
    <row r="10" customFormat="false" ht="15" hidden="false" customHeight="false" outlineLevel="0" collapsed="false">
      <c r="A10" s="2" t="s">
        <v>12</v>
      </c>
      <c r="B10" s="13" t="n">
        <f aca="false">SUM(B7:B9)</f>
        <v>201371</v>
      </c>
      <c r="G10" s="2" t="n">
        <f aca="false">SUM(G7:G9)</f>
        <v>4</v>
      </c>
      <c r="H10" s="2" t="str">
        <f aca="false">IF(G10=$B$2,"✔ suma = escaños","✘ revisar")</f>
        <v>✔ suma = escaños</v>
      </c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7" t="s">
        <v>14</v>
      </c>
      <c r="B13" s="7" t="s">
        <v>5</v>
      </c>
      <c r="C13" s="7" t="s">
        <v>15</v>
      </c>
      <c r="D13" s="7" t="s">
        <v>16</v>
      </c>
    </row>
    <row r="14" customFormat="false" ht="15" hidden="false" customHeight="false" outlineLevel="0" collapsed="false">
      <c r="A14" s="14" t="n">
        <v>1</v>
      </c>
      <c r="B14" s="12" t="s">
        <v>8</v>
      </c>
      <c r="C14" s="14" t="n">
        <v>1</v>
      </c>
      <c r="D14" s="15" t="n">
        <f aca="false">INDEX($B$7:$B$9,MATCH(B14,$A$7:$A$9,0))/C14</f>
        <v>88299</v>
      </c>
    </row>
    <row r="15" customFormat="false" ht="15" hidden="false" customHeight="false" outlineLevel="0" collapsed="false">
      <c r="A15" s="14" t="n">
        <v>2</v>
      </c>
      <c r="B15" s="12" t="s">
        <v>9</v>
      </c>
      <c r="C15" s="14" t="n">
        <v>1</v>
      </c>
      <c r="D15" s="15" t="n">
        <f aca="false">INDEX($B$7:$B$9,MATCH(B15,$A$7:$A$9,0))/C15</f>
        <v>76322</v>
      </c>
    </row>
    <row r="16" customFormat="false" ht="15" hidden="false" customHeight="false" outlineLevel="0" collapsed="false">
      <c r="A16" s="14" t="n">
        <v>3</v>
      </c>
      <c r="B16" s="12" t="s">
        <v>8</v>
      </c>
      <c r="C16" s="14" t="n">
        <v>2</v>
      </c>
      <c r="D16" s="15" t="n">
        <f aca="false">INDEX($B$7:$B$9,MATCH(B16,$A$7:$A$9,0))/C16</f>
        <v>44149.5</v>
      </c>
    </row>
    <row r="17" customFormat="false" ht="15" hidden="false" customHeight="false" outlineLevel="0" collapsed="false">
      <c r="A17" s="14" t="n">
        <v>4</v>
      </c>
      <c r="B17" s="12" t="s">
        <v>9</v>
      </c>
      <c r="C17" s="14" t="n">
        <v>2</v>
      </c>
      <c r="D17" s="15" t="n">
        <f aca="false">INDEX($B$7:$B$9,MATCH(B17,$A$7:$A$9,0))/C17</f>
        <v>38161</v>
      </c>
    </row>
    <row r="18" customFormat="false" ht="15" hidden="false" customHeight="false" outlineLevel="0" collapsed="false">
      <c r="A18" s="16" t="s">
        <v>17</v>
      </c>
      <c r="B18" s="12" t="s">
        <v>10</v>
      </c>
      <c r="C18" s="12" t="n">
        <v>1</v>
      </c>
      <c r="D18" s="11" t="n">
        <f aca="false">INDEX($B$7:$B$9,MATCH(B18,$A$7:$A$9,0))/C18</f>
        <v>36750</v>
      </c>
    </row>
    <row r="20" customFormat="false" ht="15" hidden="false" customHeight="false" outlineLevel="0" collapsed="false">
      <c r="A20" s="6" t="s">
        <v>18</v>
      </c>
    </row>
    <row r="21" customFormat="false" ht="15" hidden="false" customHeight="false" outlineLevel="0" collapsed="false">
      <c r="A21" s="17" t="s">
        <v>5</v>
      </c>
      <c r="B21" s="17" t="s">
        <v>6</v>
      </c>
      <c r="C21" s="18" t="n">
        <v>1</v>
      </c>
      <c r="D21" s="18" t="n">
        <v>2</v>
      </c>
      <c r="E21" s="18" t="n">
        <v>3</v>
      </c>
      <c r="F21" s="18" t="n">
        <v>4</v>
      </c>
      <c r="G21" s="17" t="s">
        <v>7</v>
      </c>
    </row>
    <row r="22" customFormat="false" ht="15" hidden="false" customHeight="false" outlineLevel="0" collapsed="false">
      <c r="A22" s="9" t="s">
        <v>8</v>
      </c>
      <c r="B22" s="19" t="n">
        <f aca="false">B7-$B$3</f>
        <v>86887</v>
      </c>
      <c r="C22" s="11" t="n">
        <f aca="false">$B22/C$21</f>
        <v>86887</v>
      </c>
      <c r="D22" s="11" t="n">
        <f aca="false">$B22/D$21</f>
        <v>43443.5</v>
      </c>
      <c r="E22" s="11" t="n">
        <f aca="false">$B22/E$21</f>
        <v>28962.3333333333</v>
      </c>
      <c r="F22" s="11" t="n">
        <f aca="false">$B22/F$21</f>
        <v>21721.75</v>
      </c>
      <c r="G22" s="12" t="n">
        <v>2</v>
      </c>
    </row>
    <row r="23" customFormat="false" ht="15" hidden="false" customHeight="false" outlineLevel="0" collapsed="false">
      <c r="A23" s="9" t="s">
        <v>9</v>
      </c>
      <c r="B23" s="10" t="n">
        <f aca="false">B8</f>
        <v>76322</v>
      </c>
      <c r="C23" s="11" t="n">
        <f aca="false">$B23/C$21</f>
        <v>76322</v>
      </c>
      <c r="D23" s="11" t="n">
        <f aca="false">$B23/D$21</f>
        <v>38161</v>
      </c>
      <c r="E23" s="11" t="n">
        <f aca="false">$B23/E$21</f>
        <v>25440.6666666667</v>
      </c>
      <c r="F23" s="11" t="n">
        <f aca="false">$B23/F$21</f>
        <v>19080.5</v>
      </c>
      <c r="G23" s="12" t="n">
        <v>1</v>
      </c>
    </row>
    <row r="24" customFormat="false" ht="15" hidden="false" customHeight="false" outlineLevel="0" collapsed="false">
      <c r="A24" s="9" t="s">
        <v>10</v>
      </c>
      <c r="B24" s="19" t="n">
        <f aca="false">B9+$B$3</f>
        <v>38162</v>
      </c>
      <c r="C24" s="11" t="n">
        <f aca="false">$B24/C$21</f>
        <v>38162</v>
      </c>
      <c r="D24" s="11" t="n">
        <f aca="false">$B24/D$21</f>
        <v>19081</v>
      </c>
      <c r="E24" s="11" t="n">
        <f aca="false">$B24/E$21</f>
        <v>12720.6666666667</v>
      </c>
      <c r="F24" s="11" t="n">
        <f aca="false">$B24/F$21</f>
        <v>9540.5</v>
      </c>
      <c r="G24" s="12" t="n">
        <v>1</v>
      </c>
    </row>
    <row r="25" customFormat="false" ht="15" hidden="false" customHeight="false" outlineLevel="0" collapsed="false">
      <c r="A25" s="2" t="s">
        <v>12</v>
      </c>
      <c r="B25" s="13" t="n">
        <f aca="false">SUM(B22:B24)</f>
        <v>201371</v>
      </c>
      <c r="G25" s="2" t="n">
        <f aca="false">SUM(G22:G24)</f>
        <v>4</v>
      </c>
      <c r="H25" s="2" t="str">
        <f aca="false">IF(G25=$B$2,"✔ suma = escaños","✘ revisar")</f>
        <v>✔ suma = escaños</v>
      </c>
    </row>
    <row r="27" customFormat="false" ht="15" hidden="false" customHeight="false" outlineLevel="0" collapsed="false">
      <c r="A27" s="2" t="s">
        <v>13</v>
      </c>
    </row>
    <row r="28" customFormat="false" ht="15" hidden="false" customHeight="false" outlineLevel="0" collapsed="false">
      <c r="A28" s="17" t="s">
        <v>14</v>
      </c>
      <c r="B28" s="17" t="s">
        <v>5</v>
      </c>
      <c r="C28" s="17" t="s">
        <v>15</v>
      </c>
      <c r="D28" s="17" t="s">
        <v>16</v>
      </c>
    </row>
    <row r="29" customFormat="false" ht="15" hidden="false" customHeight="false" outlineLevel="0" collapsed="false">
      <c r="A29" s="14" t="n">
        <v>1</v>
      </c>
      <c r="B29" s="12" t="s">
        <v>8</v>
      </c>
      <c r="C29" s="14" t="n">
        <v>1</v>
      </c>
      <c r="D29" s="15" t="n">
        <f aca="false">INDEX($B$22:$B$24,MATCH(B29,$A$22:$A$24,0))/C29</f>
        <v>86887</v>
      </c>
    </row>
    <row r="30" customFormat="false" ht="15" hidden="false" customHeight="false" outlineLevel="0" collapsed="false">
      <c r="A30" s="14" t="n">
        <v>2</v>
      </c>
      <c r="B30" s="12" t="s">
        <v>9</v>
      </c>
      <c r="C30" s="14" t="n">
        <v>1</v>
      </c>
      <c r="D30" s="15" t="n">
        <f aca="false">INDEX($B$22:$B$24,MATCH(B30,$A$22:$A$24,0))/C30</f>
        <v>76322</v>
      </c>
    </row>
    <row r="31" customFormat="false" ht="15" hidden="false" customHeight="false" outlineLevel="0" collapsed="false">
      <c r="A31" s="14" t="n">
        <v>3</v>
      </c>
      <c r="B31" s="12" t="s">
        <v>8</v>
      </c>
      <c r="C31" s="14" t="n">
        <v>2</v>
      </c>
      <c r="D31" s="15" t="n">
        <f aca="false">INDEX($B$22:$B$24,MATCH(B31,$A$22:$A$24,0))/C31</f>
        <v>43443.5</v>
      </c>
    </row>
    <row r="32" customFormat="false" ht="15" hidden="false" customHeight="false" outlineLevel="0" collapsed="false">
      <c r="A32" s="14" t="n">
        <v>4</v>
      </c>
      <c r="B32" s="12" t="s">
        <v>10</v>
      </c>
      <c r="C32" s="14" t="n">
        <v>1</v>
      </c>
      <c r="D32" s="15" t="n">
        <f aca="false">INDEX($B$22:$B$24,MATCH(B32,$A$22:$A$24,0))/C32</f>
        <v>38162</v>
      </c>
    </row>
    <row r="33" customFormat="false" ht="15" hidden="false" customHeight="false" outlineLevel="0" collapsed="false">
      <c r="A33" s="16" t="s">
        <v>17</v>
      </c>
      <c r="B33" s="12" t="s">
        <v>9</v>
      </c>
      <c r="C33" s="12" t="n">
        <v>2</v>
      </c>
      <c r="D33" s="11" t="n">
        <f aca="false">INDEX($B$22:$B$24,MATCH(B33,$A$22:$A$24,0))/C33</f>
        <v>38161</v>
      </c>
    </row>
    <row r="36" customFormat="false" ht="15" hidden="false" customHeight="false" outlineLevel="0" collapsed="false">
      <c r="A36" s="5" t="s">
        <v>19</v>
      </c>
    </row>
  </sheetData>
  <conditionalFormatting sqref="C7:F9">
    <cfRule type="expression" priority="2" aboveAverage="0" equalAverage="0" bottom="0" percent="0" rank="0" text="" dxfId="0">
      <formula>C$6&lt;=$G7</formula>
    </cfRule>
  </conditionalFormatting>
  <conditionalFormatting sqref="C22:F24">
    <cfRule type="expression" priority="3" aboveAverage="0" equalAverage="0" bottom="0" percent="0" rank="0" text="" dxfId="0">
      <formula>C$21&lt;=$G22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  <c r="B3" s="4" t="n">
        <v>9030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7" t="s">
        <v>7</v>
      </c>
    </row>
    <row r="7" customFormat="false" ht="15" hidden="false" customHeight="false" outlineLevel="0" collapsed="false">
      <c r="A7" s="9" t="s">
        <v>8</v>
      </c>
      <c r="B7" s="10" t="n">
        <v>82329</v>
      </c>
      <c r="C7" s="11" t="n">
        <f aca="false">$B7/C$6</f>
        <v>82329</v>
      </c>
      <c r="D7" s="11" t="n">
        <f aca="false">$B7/D$6</f>
        <v>41164.5</v>
      </c>
      <c r="E7" s="11" t="n">
        <f aca="false">$B7/E$6</f>
        <v>27443</v>
      </c>
      <c r="F7" s="11" t="n">
        <f aca="false">$B7/F$6</f>
        <v>20582.25</v>
      </c>
      <c r="G7" s="12" t="n">
        <v>2</v>
      </c>
    </row>
    <row r="8" customFormat="false" ht="15" hidden="false" customHeight="false" outlineLevel="0" collapsed="false">
      <c r="A8" s="9" t="s">
        <v>9</v>
      </c>
      <c r="B8" s="10" t="n">
        <v>69775</v>
      </c>
      <c r="C8" s="11" t="n">
        <f aca="false">$B8/C$6</f>
        <v>69775</v>
      </c>
      <c r="D8" s="11" t="n">
        <f aca="false">$B8/D$6</f>
        <v>34887.5</v>
      </c>
      <c r="E8" s="11" t="n">
        <f aca="false">$B8/E$6</f>
        <v>23258.3333333333</v>
      </c>
      <c r="F8" s="11" t="n">
        <f aca="false">$B8/F$6</f>
        <v>17443.75</v>
      </c>
      <c r="G8" s="12" t="n">
        <v>2</v>
      </c>
    </row>
    <row r="9" customFormat="false" ht="15" hidden="false" customHeight="false" outlineLevel="0" collapsed="false">
      <c r="A9" s="9" t="s">
        <v>10</v>
      </c>
      <c r="B9" s="10" t="n">
        <v>25858</v>
      </c>
      <c r="C9" s="11" t="n">
        <f aca="false">$B9/C$6</f>
        <v>25858</v>
      </c>
      <c r="D9" s="11" t="n">
        <f aca="false">$B9/D$6</f>
        <v>12929</v>
      </c>
      <c r="E9" s="11" t="n">
        <f aca="false">$B9/E$6</f>
        <v>8619.33333333333</v>
      </c>
      <c r="F9" s="11" t="n">
        <f aca="false">$B9/F$6</f>
        <v>6464.5</v>
      </c>
      <c r="G9" s="12" t="n">
        <v>0</v>
      </c>
    </row>
    <row r="10" customFormat="false" ht="15" hidden="false" customHeight="false" outlineLevel="0" collapsed="false">
      <c r="A10" s="2" t="s">
        <v>12</v>
      </c>
      <c r="B10" s="13" t="n">
        <f aca="false">SUM(B7:B9)</f>
        <v>177962</v>
      </c>
      <c r="G10" s="2" t="n">
        <f aca="false">SUM(G7:G9)</f>
        <v>4</v>
      </c>
      <c r="H10" s="2" t="str">
        <f aca="false">IF(G10=$B$2,"✔ suma = escaños","✘ revisar")</f>
        <v>✔ suma = escaños</v>
      </c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7" t="s">
        <v>14</v>
      </c>
      <c r="B13" s="7" t="s">
        <v>5</v>
      </c>
      <c r="C13" s="7" t="s">
        <v>15</v>
      </c>
      <c r="D13" s="7" t="s">
        <v>16</v>
      </c>
    </row>
    <row r="14" customFormat="false" ht="15" hidden="false" customHeight="false" outlineLevel="0" collapsed="false">
      <c r="A14" s="14" t="n">
        <v>1</v>
      </c>
      <c r="B14" s="12" t="s">
        <v>8</v>
      </c>
      <c r="C14" s="14" t="n">
        <v>1</v>
      </c>
      <c r="D14" s="15" t="n">
        <f aca="false">INDEX($B$7:$B$9,MATCH(B14,$A$7:$A$9,0))/C14</f>
        <v>82329</v>
      </c>
    </row>
    <row r="15" customFormat="false" ht="15" hidden="false" customHeight="false" outlineLevel="0" collapsed="false">
      <c r="A15" s="14" t="n">
        <v>2</v>
      </c>
      <c r="B15" s="12" t="s">
        <v>9</v>
      </c>
      <c r="C15" s="14" t="n">
        <v>1</v>
      </c>
      <c r="D15" s="15" t="n">
        <f aca="false">INDEX($B$7:$B$9,MATCH(B15,$A$7:$A$9,0))/C15</f>
        <v>69775</v>
      </c>
    </row>
    <row r="16" customFormat="false" ht="15" hidden="false" customHeight="false" outlineLevel="0" collapsed="false">
      <c r="A16" s="14" t="n">
        <v>3</v>
      </c>
      <c r="B16" s="12" t="s">
        <v>8</v>
      </c>
      <c r="C16" s="14" t="n">
        <v>2</v>
      </c>
      <c r="D16" s="15" t="n">
        <f aca="false">INDEX($B$7:$B$9,MATCH(B16,$A$7:$A$9,0))/C16</f>
        <v>41164.5</v>
      </c>
    </row>
    <row r="17" customFormat="false" ht="15" hidden="false" customHeight="false" outlineLevel="0" collapsed="false">
      <c r="A17" s="14" t="n">
        <v>4</v>
      </c>
      <c r="B17" s="12" t="s">
        <v>9</v>
      </c>
      <c r="C17" s="14" t="n">
        <v>2</v>
      </c>
      <c r="D17" s="15" t="n">
        <f aca="false">INDEX($B$7:$B$9,MATCH(B17,$A$7:$A$9,0))/C17</f>
        <v>34887.5</v>
      </c>
    </row>
    <row r="18" customFormat="false" ht="15" hidden="false" customHeight="false" outlineLevel="0" collapsed="false">
      <c r="A18" s="16" t="s">
        <v>17</v>
      </c>
      <c r="B18" s="12" t="s">
        <v>8</v>
      </c>
      <c r="C18" s="12" t="n">
        <v>3</v>
      </c>
      <c r="D18" s="11" t="n">
        <f aca="false">INDEX($B$7:$B$9,MATCH(B18,$A$7:$A$9,0))/C18</f>
        <v>27443</v>
      </c>
    </row>
    <row r="20" customFormat="false" ht="15" hidden="false" customHeight="false" outlineLevel="0" collapsed="false">
      <c r="A20" s="6" t="s">
        <v>18</v>
      </c>
    </row>
    <row r="21" customFormat="false" ht="15" hidden="false" customHeight="false" outlineLevel="0" collapsed="false">
      <c r="A21" s="17" t="s">
        <v>5</v>
      </c>
      <c r="B21" s="17" t="s">
        <v>6</v>
      </c>
      <c r="C21" s="18" t="n">
        <v>1</v>
      </c>
      <c r="D21" s="18" t="n">
        <v>2</v>
      </c>
      <c r="E21" s="18" t="n">
        <v>3</v>
      </c>
      <c r="F21" s="18" t="n">
        <v>4</v>
      </c>
      <c r="G21" s="17" t="s">
        <v>7</v>
      </c>
    </row>
    <row r="22" customFormat="false" ht="15" hidden="false" customHeight="false" outlineLevel="0" collapsed="false">
      <c r="A22" s="9" t="s">
        <v>8</v>
      </c>
      <c r="B22" s="19" t="n">
        <f aca="false">B7-$B$3</f>
        <v>73299</v>
      </c>
      <c r="C22" s="11" t="n">
        <f aca="false">$B22/C$21</f>
        <v>73299</v>
      </c>
      <c r="D22" s="11" t="n">
        <f aca="false">$B22/D$21</f>
        <v>36649.5</v>
      </c>
      <c r="E22" s="11" t="n">
        <f aca="false">$B22/E$21</f>
        <v>24433</v>
      </c>
      <c r="F22" s="11" t="n">
        <f aca="false">$B22/F$21</f>
        <v>18324.75</v>
      </c>
      <c r="G22" s="12" t="n">
        <v>2</v>
      </c>
    </row>
    <row r="23" customFormat="false" ht="15" hidden="false" customHeight="false" outlineLevel="0" collapsed="false">
      <c r="A23" s="9" t="s">
        <v>9</v>
      </c>
      <c r="B23" s="10" t="n">
        <f aca="false">B8</f>
        <v>69775</v>
      </c>
      <c r="C23" s="11" t="n">
        <f aca="false">$B23/C$21</f>
        <v>69775</v>
      </c>
      <c r="D23" s="11" t="n">
        <f aca="false">$B23/D$21</f>
        <v>34887.5</v>
      </c>
      <c r="E23" s="11" t="n">
        <f aca="false">$B23/E$21</f>
        <v>23258.3333333333</v>
      </c>
      <c r="F23" s="11" t="n">
        <f aca="false">$B23/F$21</f>
        <v>17443.75</v>
      </c>
      <c r="G23" s="12" t="n">
        <v>1</v>
      </c>
    </row>
    <row r="24" customFormat="false" ht="15" hidden="false" customHeight="false" outlineLevel="0" collapsed="false">
      <c r="A24" s="9" t="s">
        <v>10</v>
      </c>
      <c r="B24" s="19" t="n">
        <f aca="false">B9+$B$3</f>
        <v>34888</v>
      </c>
      <c r="C24" s="11" t="n">
        <f aca="false">$B24/C$21</f>
        <v>34888</v>
      </c>
      <c r="D24" s="11" t="n">
        <f aca="false">$B24/D$21</f>
        <v>17444</v>
      </c>
      <c r="E24" s="11" t="n">
        <f aca="false">$B24/E$21</f>
        <v>11629.3333333333</v>
      </c>
      <c r="F24" s="11" t="n">
        <f aca="false">$B24/F$21</f>
        <v>8722</v>
      </c>
      <c r="G24" s="12" t="n">
        <v>1</v>
      </c>
    </row>
    <row r="25" customFormat="false" ht="15" hidden="false" customHeight="false" outlineLevel="0" collapsed="false">
      <c r="A25" s="2" t="s">
        <v>12</v>
      </c>
      <c r="B25" s="13" t="n">
        <f aca="false">SUM(B22:B24)</f>
        <v>177962</v>
      </c>
      <c r="G25" s="2" t="n">
        <f aca="false">SUM(G22:G24)</f>
        <v>4</v>
      </c>
      <c r="H25" s="2" t="str">
        <f aca="false">IF(G25=$B$2,"✔ suma = escaños","✘ revisar")</f>
        <v>✔ suma = escaños</v>
      </c>
    </row>
    <row r="27" customFormat="false" ht="15" hidden="false" customHeight="false" outlineLevel="0" collapsed="false">
      <c r="A27" s="2" t="s">
        <v>13</v>
      </c>
    </row>
    <row r="28" customFormat="false" ht="15" hidden="false" customHeight="false" outlineLevel="0" collapsed="false">
      <c r="A28" s="17" t="s">
        <v>14</v>
      </c>
      <c r="B28" s="17" t="s">
        <v>5</v>
      </c>
      <c r="C28" s="17" t="s">
        <v>15</v>
      </c>
      <c r="D28" s="17" t="s">
        <v>16</v>
      </c>
    </row>
    <row r="29" customFormat="false" ht="15" hidden="false" customHeight="false" outlineLevel="0" collapsed="false">
      <c r="A29" s="14" t="n">
        <v>1</v>
      </c>
      <c r="B29" s="12" t="s">
        <v>8</v>
      </c>
      <c r="C29" s="14" t="n">
        <v>1</v>
      </c>
      <c r="D29" s="15" t="n">
        <f aca="false">INDEX($B$22:$B$24,MATCH(B29,$A$22:$A$24,0))/C29</f>
        <v>73299</v>
      </c>
    </row>
    <row r="30" customFormat="false" ht="15" hidden="false" customHeight="false" outlineLevel="0" collapsed="false">
      <c r="A30" s="14" t="n">
        <v>2</v>
      </c>
      <c r="B30" s="12" t="s">
        <v>9</v>
      </c>
      <c r="C30" s="14" t="n">
        <v>1</v>
      </c>
      <c r="D30" s="15" t="n">
        <f aca="false">INDEX($B$22:$B$24,MATCH(B30,$A$22:$A$24,0))/C30</f>
        <v>69775</v>
      </c>
    </row>
    <row r="31" customFormat="false" ht="15" hidden="false" customHeight="false" outlineLevel="0" collapsed="false">
      <c r="A31" s="14" t="n">
        <v>3</v>
      </c>
      <c r="B31" s="12" t="s">
        <v>8</v>
      </c>
      <c r="C31" s="14" t="n">
        <v>2</v>
      </c>
      <c r="D31" s="15" t="n">
        <f aca="false">INDEX($B$22:$B$24,MATCH(B31,$A$22:$A$24,0))/C31</f>
        <v>36649.5</v>
      </c>
    </row>
    <row r="32" customFormat="false" ht="15" hidden="false" customHeight="false" outlineLevel="0" collapsed="false">
      <c r="A32" s="14" t="n">
        <v>4</v>
      </c>
      <c r="B32" s="12" t="s">
        <v>10</v>
      </c>
      <c r="C32" s="14" t="n">
        <v>1</v>
      </c>
      <c r="D32" s="15" t="n">
        <f aca="false">INDEX($B$22:$B$24,MATCH(B32,$A$22:$A$24,0))/C32</f>
        <v>34888</v>
      </c>
    </row>
    <row r="33" customFormat="false" ht="15" hidden="false" customHeight="false" outlineLevel="0" collapsed="false">
      <c r="A33" s="16" t="s">
        <v>17</v>
      </c>
      <c r="B33" s="12" t="s">
        <v>9</v>
      </c>
      <c r="C33" s="12" t="n">
        <v>2</v>
      </c>
      <c r="D33" s="11" t="n">
        <f aca="false">INDEX($B$22:$B$24,MATCH(B33,$A$22:$A$24,0))/C33</f>
        <v>34887.5</v>
      </c>
    </row>
    <row r="36" customFormat="false" ht="15" hidden="false" customHeight="false" outlineLevel="0" collapsed="false">
      <c r="A36" s="5" t="s">
        <v>19</v>
      </c>
    </row>
  </sheetData>
  <conditionalFormatting sqref="C7:F9">
    <cfRule type="expression" priority="2" aboveAverage="0" equalAverage="0" bottom="0" percent="0" rank="0" text="" dxfId="0">
      <formula>C$6&lt;=$G7</formula>
    </cfRule>
  </conditionalFormatting>
  <conditionalFormatting sqref="C22:F24">
    <cfRule type="expression" priority="3" aboveAverage="0" equalAverage="0" bottom="0" percent="0" rank="0" text="" dxfId="0">
      <formula>C$21&lt;=$G22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9" min="3" style="0" width="11"/>
    <col collapsed="false" customWidth="true" hidden="false" outlineLevel="0" max="10" min="10" style="0" width="20"/>
  </cols>
  <sheetData>
    <row r="1" customFormat="false" ht="16.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1</v>
      </c>
      <c r="B2" s="3" t="n">
        <v>6</v>
      </c>
    </row>
    <row r="3" customFormat="false" ht="15" hidden="false" customHeight="false" outlineLevel="0" collapsed="false">
      <c r="A3" s="2" t="s">
        <v>2</v>
      </c>
      <c r="B3" s="4" t="n">
        <v>8920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7" t="s">
        <v>7</v>
      </c>
    </row>
    <row r="7" customFormat="false" ht="15" hidden="false" customHeight="false" outlineLevel="0" collapsed="false">
      <c r="A7" s="9" t="s">
        <v>8</v>
      </c>
      <c r="B7" s="10" t="n">
        <v>31341</v>
      </c>
      <c r="C7" s="11" t="n">
        <f aca="false">$B7/C$6</f>
        <v>31341</v>
      </c>
      <c r="D7" s="11" t="n">
        <f aca="false">$B7/D$6</f>
        <v>15670.5</v>
      </c>
      <c r="E7" s="11" t="n">
        <f aca="false">$B7/E$6</f>
        <v>10447</v>
      </c>
      <c r="F7" s="11" t="n">
        <f aca="false">$B7/F$6</f>
        <v>7835.25</v>
      </c>
      <c r="G7" s="11" t="n">
        <f aca="false">$B7/G$6</f>
        <v>6268.2</v>
      </c>
      <c r="H7" s="11" t="n">
        <f aca="false">$B7/H$6</f>
        <v>5223.5</v>
      </c>
      <c r="I7" s="12" t="n">
        <v>0</v>
      </c>
    </row>
    <row r="8" customFormat="false" ht="15" hidden="false" customHeight="false" outlineLevel="0" collapsed="false">
      <c r="A8" s="9" t="s">
        <v>9</v>
      </c>
      <c r="B8" s="10" t="n">
        <v>93448</v>
      </c>
      <c r="C8" s="11" t="n">
        <f aca="false">$B8/C$6</f>
        <v>93448</v>
      </c>
      <c r="D8" s="11" t="n">
        <f aca="false">$B8/D$6</f>
        <v>46724</v>
      </c>
      <c r="E8" s="11" t="n">
        <f aca="false">$B8/E$6</f>
        <v>31149.3333333333</v>
      </c>
      <c r="F8" s="11" t="n">
        <f aca="false">$B8/F$6</f>
        <v>23362</v>
      </c>
      <c r="G8" s="11" t="n">
        <f aca="false">$B8/G$6</f>
        <v>18689.6</v>
      </c>
      <c r="H8" s="11" t="n">
        <f aca="false">$B8/H$6</f>
        <v>15574.6666666667</v>
      </c>
      <c r="I8" s="12" t="n">
        <v>2</v>
      </c>
    </row>
    <row r="9" customFormat="false" ht="15" hidden="false" customHeight="false" outlineLevel="0" collapsed="false">
      <c r="A9" s="9" t="s">
        <v>10</v>
      </c>
      <c r="B9" s="10" t="n">
        <v>22706</v>
      </c>
      <c r="C9" s="11" t="n">
        <f aca="false">$B9/C$6</f>
        <v>22706</v>
      </c>
      <c r="D9" s="11" t="n">
        <f aca="false">$B9/D$6</f>
        <v>11353</v>
      </c>
      <c r="E9" s="11" t="n">
        <f aca="false">$B9/E$6</f>
        <v>7568.66666666667</v>
      </c>
      <c r="F9" s="11" t="n">
        <f aca="false">$B9/F$6</f>
        <v>5676.5</v>
      </c>
      <c r="G9" s="11" t="n">
        <f aca="false">$B9/G$6</f>
        <v>4541.2</v>
      </c>
      <c r="H9" s="11" t="n">
        <f aca="false">$B9/H$6</f>
        <v>3784.33333333333</v>
      </c>
      <c r="I9" s="12" t="n">
        <v>0</v>
      </c>
    </row>
    <row r="10" customFormat="false" ht="15" hidden="false" customHeight="false" outlineLevel="0" collapsed="false">
      <c r="A10" s="9" t="s">
        <v>11</v>
      </c>
      <c r="B10" s="10" t="n">
        <v>35344</v>
      </c>
      <c r="C10" s="11" t="n">
        <f aca="false">$B10/C$6</f>
        <v>35344</v>
      </c>
      <c r="D10" s="11" t="n">
        <f aca="false">$B10/D$6</f>
        <v>17672</v>
      </c>
      <c r="E10" s="11" t="n">
        <f aca="false">$B10/E$6</f>
        <v>11781.3333333333</v>
      </c>
      <c r="F10" s="11" t="n">
        <f aca="false">$B10/F$6</f>
        <v>8836</v>
      </c>
      <c r="G10" s="11" t="n">
        <f aca="false">$B10/G$6</f>
        <v>7068.8</v>
      </c>
      <c r="H10" s="11" t="n">
        <f aca="false">$B10/H$6</f>
        <v>5890.66666666667</v>
      </c>
      <c r="I10" s="12" t="n">
        <v>1</v>
      </c>
    </row>
    <row r="11" customFormat="false" ht="15" hidden="false" customHeight="false" outlineLevel="0" collapsed="false">
      <c r="A11" s="9" t="s">
        <v>24</v>
      </c>
      <c r="B11" s="10" t="n">
        <v>47531</v>
      </c>
      <c r="C11" s="11" t="n">
        <f aca="false">$B11/C$6</f>
        <v>47531</v>
      </c>
      <c r="D11" s="11" t="n">
        <f aca="false">$B11/D$6</f>
        <v>23765.5</v>
      </c>
      <c r="E11" s="11" t="n">
        <f aca="false">$B11/E$6</f>
        <v>15843.6666666667</v>
      </c>
      <c r="F11" s="11" t="n">
        <f aca="false">$B11/F$6</f>
        <v>11882.75</v>
      </c>
      <c r="G11" s="11" t="n">
        <f aca="false">$B11/G$6</f>
        <v>9506.2</v>
      </c>
      <c r="H11" s="11" t="n">
        <f aca="false">$B11/H$6</f>
        <v>7921.83333333333</v>
      </c>
      <c r="I11" s="12" t="n">
        <v>1</v>
      </c>
    </row>
    <row r="12" customFormat="false" ht="15" hidden="false" customHeight="false" outlineLevel="0" collapsed="false">
      <c r="A12" s="9" t="s">
        <v>25</v>
      </c>
      <c r="B12" s="10" t="n">
        <v>63251</v>
      </c>
      <c r="C12" s="11" t="n">
        <f aca="false">$B12/C$6</f>
        <v>63251</v>
      </c>
      <c r="D12" s="11" t="n">
        <f aca="false">$B12/D$6</f>
        <v>31625.5</v>
      </c>
      <c r="E12" s="11" t="n">
        <f aca="false">$B12/E$6</f>
        <v>21083.6666666667</v>
      </c>
      <c r="F12" s="11" t="n">
        <f aca="false">$B12/F$6</f>
        <v>15812.75</v>
      </c>
      <c r="G12" s="11" t="n">
        <f aca="false">$B12/G$6</f>
        <v>12650.2</v>
      </c>
      <c r="H12" s="11" t="n">
        <f aca="false">$B12/H$6</f>
        <v>10541.8333333333</v>
      </c>
      <c r="I12" s="12" t="n">
        <v>2</v>
      </c>
    </row>
    <row r="13" customFormat="false" ht="15" hidden="false" customHeight="false" outlineLevel="0" collapsed="false">
      <c r="A13" s="2" t="s">
        <v>12</v>
      </c>
      <c r="B13" s="13" t="n">
        <f aca="false">SUM(B7:B12)</f>
        <v>293621</v>
      </c>
      <c r="I13" s="2" t="n">
        <f aca="false">SUM(I7:I12)</f>
        <v>6</v>
      </c>
      <c r="J13" s="2" t="str">
        <f aca="false">IF(I13=$B$2,"✔ suma = escaños","✘ revisar")</f>
        <v>✔ suma = escaños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7" t="s">
        <v>14</v>
      </c>
      <c r="B16" s="7" t="s">
        <v>5</v>
      </c>
      <c r="C16" s="7" t="s">
        <v>15</v>
      </c>
      <c r="D16" s="7" t="s">
        <v>16</v>
      </c>
    </row>
    <row r="17" customFormat="false" ht="15" hidden="false" customHeight="false" outlineLevel="0" collapsed="false">
      <c r="A17" s="14" t="n">
        <v>1</v>
      </c>
      <c r="B17" s="12" t="s">
        <v>9</v>
      </c>
      <c r="C17" s="14" t="n">
        <v>1</v>
      </c>
      <c r="D17" s="15" t="n">
        <f aca="false">INDEX($B$7:$B$12,MATCH(B17,$A$7:$A$12,0))/C17</f>
        <v>93448</v>
      </c>
    </row>
    <row r="18" customFormat="false" ht="15" hidden="false" customHeight="false" outlineLevel="0" collapsed="false">
      <c r="A18" s="14" t="n">
        <v>2</v>
      </c>
      <c r="B18" s="12" t="s">
        <v>25</v>
      </c>
      <c r="C18" s="14" t="n">
        <v>1</v>
      </c>
      <c r="D18" s="15" t="n">
        <f aca="false">INDEX($B$7:$B$12,MATCH(B18,$A$7:$A$12,0))/C18</f>
        <v>63251</v>
      </c>
    </row>
    <row r="19" customFormat="false" ht="15" hidden="false" customHeight="false" outlineLevel="0" collapsed="false">
      <c r="A19" s="14" t="n">
        <v>3</v>
      </c>
      <c r="B19" s="12" t="s">
        <v>24</v>
      </c>
      <c r="C19" s="14" t="n">
        <v>1</v>
      </c>
      <c r="D19" s="15" t="n">
        <f aca="false">INDEX($B$7:$B$12,MATCH(B19,$A$7:$A$12,0))/C19</f>
        <v>47531</v>
      </c>
    </row>
    <row r="20" customFormat="false" ht="15" hidden="false" customHeight="false" outlineLevel="0" collapsed="false">
      <c r="A20" s="14" t="n">
        <v>4</v>
      </c>
      <c r="B20" s="12" t="s">
        <v>9</v>
      </c>
      <c r="C20" s="14" t="n">
        <v>2</v>
      </c>
      <c r="D20" s="15" t="n">
        <f aca="false">INDEX($B$7:$B$12,MATCH(B20,$A$7:$A$12,0))/C20</f>
        <v>46724</v>
      </c>
    </row>
    <row r="21" customFormat="false" ht="15" hidden="false" customHeight="false" outlineLevel="0" collapsed="false">
      <c r="A21" s="14" t="n">
        <v>5</v>
      </c>
      <c r="B21" s="12" t="s">
        <v>11</v>
      </c>
      <c r="C21" s="14" t="n">
        <v>1</v>
      </c>
      <c r="D21" s="15" t="n">
        <f aca="false">INDEX($B$7:$B$12,MATCH(B21,$A$7:$A$12,0))/C21</f>
        <v>35344</v>
      </c>
    </row>
    <row r="22" customFormat="false" ht="15" hidden="false" customHeight="false" outlineLevel="0" collapsed="false">
      <c r="A22" s="14" t="n">
        <v>6</v>
      </c>
      <c r="B22" s="12" t="s">
        <v>25</v>
      </c>
      <c r="C22" s="14" t="n">
        <v>2</v>
      </c>
      <c r="D22" s="15" t="n">
        <f aca="false">INDEX($B$7:$B$12,MATCH(B22,$A$7:$A$12,0))/C22</f>
        <v>31625.5</v>
      </c>
    </row>
    <row r="23" customFormat="false" ht="15" hidden="false" customHeight="false" outlineLevel="0" collapsed="false">
      <c r="A23" s="16" t="s">
        <v>17</v>
      </c>
      <c r="B23" s="12" t="s">
        <v>8</v>
      </c>
      <c r="C23" s="12" t="n">
        <v>1</v>
      </c>
      <c r="D23" s="11" t="n">
        <f aca="false">INDEX($B$7:$B$12,MATCH(B23,$A$7:$A$12,0))/C23</f>
        <v>31341</v>
      </c>
    </row>
    <row r="25" customFormat="false" ht="15" hidden="false" customHeight="false" outlineLevel="0" collapsed="false">
      <c r="A25" s="6" t="s">
        <v>18</v>
      </c>
    </row>
    <row r="26" customFormat="false" ht="15" hidden="false" customHeight="false" outlineLevel="0" collapsed="false">
      <c r="A26" s="17" t="s">
        <v>5</v>
      </c>
      <c r="B26" s="17" t="s">
        <v>6</v>
      </c>
      <c r="C26" s="18" t="n">
        <v>1</v>
      </c>
      <c r="D26" s="18" t="n">
        <v>2</v>
      </c>
      <c r="E26" s="18" t="n">
        <v>3</v>
      </c>
      <c r="F26" s="18" t="n">
        <v>4</v>
      </c>
      <c r="G26" s="18" t="n">
        <v>5</v>
      </c>
      <c r="H26" s="18" t="n">
        <v>6</v>
      </c>
      <c r="I26" s="17" t="s">
        <v>7</v>
      </c>
    </row>
    <row r="27" customFormat="false" ht="15" hidden="false" customHeight="false" outlineLevel="0" collapsed="false">
      <c r="A27" s="9" t="s">
        <v>8</v>
      </c>
      <c r="B27" s="19" t="n">
        <f aca="false">B7-$B$3</f>
        <v>22421</v>
      </c>
      <c r="C27" s="11" t="n">
        <f aca="false">$B27/C$26</f>
        <v>22421</v>
      </c>
      <c r="D27" s="11" t="n">
        <f aca="false">$B27/D$26</f>
        <v>11210.5</v>
      </c>
      <c r="E27" s="11" t="n">
        <f aca="false">$B27/E$26</f>
        <v>7473.66666666667</v>
      </c>
      <c r="F27" s="11" t="n">
        <f aca="false">$B27/F$26</f>
        <v>5605.25</v>
      </c>
      <c r="G27" s="11" t="n">
        <f aca="false">$B27/G$26</f>
        <v>4484.2</v>
      </c>
      <c r="H27" s="11" t="n">
        <f aca="false">$B27/H$26</f>
        <v>3736.83333333333</v>
      </c>
      <c r="I27" s="12" t="n">
        <v>0</v>
      </c>
    </row>
    <row r="28" customFormat="false" ht="15" hidden="false" customHeight="false" outlineLevel="0" collapsed="false">
      <c r="A28" s="9" t="s">
        <v>9</v>
      </c>
      <c r="B28" s="10" t="n">
        <f aca="false">B8</f>
        <v>93448</v>
      </c>
      <c r="C28" s="11" t="n">
        <f aca="false">$B28/C$26</f>
        <v>93448</v>
      </c>
      <c r="D28" s="11" t="n">
        <f aca="false">$B28/D$26</f>
        <v>46724</v>
      </c>
      <c r="E28" s="11" t="n">
        <f aca="false">$B28/E$26</f>
        <v>31149.3333333333</v>
      </c>
      <c r="F28" s="11" t="n">
        <f aca="false">$B28/F$26</f>
        <v>23362</v>
      </c>
      <c r="G28" s="11" t="n">
        <f aca="false">$B28/G$26</f>
        <v>18689.6</v>
      </c>
      <c r="H28" s="11" t="n">
        <f aca="false">$B28/H$26</f>
        <v>15574.6666666667</v>
      </c>
      <c r="I28" s="12" t="n">
        <v>2</v>
      </c>
    </row>
    <row r="29" customFormat="false" ht="15" hidden="false" customHeight="false" outlineLevel="0" collapsed="false">
      <c r="A29" s="9" t="s">
        <v>10</v>
      </c>
      <c r="B29" s="19" t="n">
        <f aca="false">B9+$B$3</f>
        <v>31626</v>
      </c>
      <c r="C29" s="11" t="n">
        <f aca="false">$B29/C$26</f>
        <v>31626</v>
      </c>
      <c r="D29" s="11" t="n">
        <f aca="false">$B29/D$26</f>
        <v>15813</v>
      </c>
      <c r="E29" s="11" t="n">
        <f aca="false">$B29/E$26</f>
        <v>10542</v>
      </c>
      <c r="F29" s="11" t="n">
        <f aca="false">$B29/F$26</f>
        <v>7906.5</v>
      </c>
      <c r="G29" s="11" t="n">
        <f aca="false">$B29/G$26</f>
        <v>6325.2</v>
      </c>
      <c r="H29" s="11" t="n">
        <f aca="false">$B29/H$26</f>
        <v>5271</v>
      </c>
      <c r="I29" s="12" t="n">
        <v>1</v>
      </c>
    </row>
    <row r="30" customFormat="false" ht="15" hidden="false" customHeight="false" outlineLevel="0" collapsed="false">
      <c r="A30" s="9" t="s">
        <v>11</v>
      </c>
      <c r="B30" s="10" t="n">
        <f aca="false">B10</f>
        <v>35344</v>
      </c>
      <c r="C30" s="11" t="n">
        <f aca="false">$B30/C$26</f>
        <v>35344</v>
      </c>
      <c r="D30" s="11" t="n">
        <f aca="false">$B30/D$26</f>
        <v>17672</v>
      </c>
      <c r="E30" s="11" t="n">
        <f aca="false">$B30/E$26</f>
        <v>11781.3333333333</v>
      </c>
      <c r="F30" s="11" t="n">
        <f aca="false">$B30/F$26</f>
        <v>8836</v>
      </c>
      <c r="G30" s="11" t="n">
        <f aca="false">$B30/G$26</f>
        <v>7068.8</v>
      </c>
      <c r="H30" s="11" t="n">
        <f aca="false">$B30/H$26</f>
        <v>5890.66666666667</v>
      </c>
      <c r="I30" s="12" t="n">
        <v>1</v>
      </c>
    </row>
    <row r="31" customFormat="false" ht="15" hidden="false" customHeight="false" outlineLevel="0" collapsed="false">
      <c r="A31" s="9" t="s">
        <v>24</v>
      </c>
      <c r="B31" s="10" t="n">
        <f aca="false">B11</f>
        <v>47531</v>
      </c>
      <c r="C31" s="11" t="n">
        <f aca="false">$B31/C$26</f>
        <v>47531</v>
      </c>
      <c r="D31" s="11" t="n">
        <f aca="false">$B31/D$26</f>
        <v>23765.5</v>
      </c>
      <c r="E31" s="11" t="n">
        <f aca="false">$B31/E$26</f>
        <v>15843.6666666667</v>
      </c>
      <c r="F31" s="11" t="n">
        <f aca="false">$B31/F$26</f>
        <v>11882.75</v>
      </c>
      <c r="G31" s="11" t="n">
        <f aca="false">$B31/G$26</f>
        <v>9506.2</v>
      </c>
      <c r="H31" s="11" t="n">
        <f aca="false">$B31/H$26</f>
        <v>7921.83333333333</v>
      </c>
      <c r="I31" s="12" t="n">
        <v>1</v>
      </c>
    </row>
    <row r="32" customFormat="false" ht="15" hidden="false" customHeight="false" outlineLevel="0" collapsed="false">
      <c r="A32" s="9" t="s">
        <v>25</v>
      </c>
      <c r="B32" s="10" t="n">
        <f aca="false">B12</f>
        <v>63251</v>
      </c>
      <c r="C32" s="11" t="n">
        <f aca="false">$B32/C$26</f>
        <v>63251</v>
      </c>
      <c r="D32" s="11" t="n">
        <f aca="false">$B32/D$26</f>
        <v>31625.5</v>
      </c>
      <c r="E32" s="11" t="n">
        <f aca="false">$B32/E$26</f>
        <v>21083.6666666667</v>
      </c>
      <c r="F32" s="11" t="n">
        <f aca="false">$B32/F$26</f>
        <v>15812.75</v>
      </c>
      <c r="G32" s="11" t="n">
        <f aca="false">$B32/G$26</f>
        <v>12650.2</v>
      </c>
      <c r="H32" s="11" t="n">
        <f aca="false">$B32/H$26</f>
        <v>10541.8333333333</v>
      </c>
      <c r="I32" s="12" t="n">
        <v>1</v>
      </c>
    </row>
    <row r="33" customFormat="false" ht="15" hidden="false" customHeight="false" outlineLevel="0" collapsed="false">
      <c r="A33" s="2" t="s">
        <v>12</v>
      </c>
      <c r="B33" s="13" t="n">
        <f aca="false">SUM(B27:B32)</f>
        <v>293621</v>
      </c>
      <c r="I33" s="2" t="n">
        <f aca="false">SUM(I27:I32)</f>
        <v>6</v>
      </c>
      <c r="J33" s="2" t="str">
        <f aca="false">IF(I33=$B$2,"✔ suma = escaños","✘ revisar")</f>
        <v>✔ suma = escaños</v>
      </c>
    </row>
    <row r="35" customFormat="false" ht="15" hidden="false" customHeight="false" outlineLevel="0" collapsed="false">
      <c r="A35" s="2" t="s">
        <v>13</v>
      </c>
    </row>
    <row r="36" customFormat="false" ht="15" hidden="false" customHeight="false" outlineLevel="0" collapsed="false">
      <c r="A36" s="17" t="s">
        <v>14</v>
      </c>
      <c r="B36" s="17" t="s">
        <v>5</v>
      </c>
      <c r="C36" s="17" t="s">
        <v>15</v>
      </c>
      <c r="D36" s="17" t="s">
        <v>16</v>
      </c>
    </row>
    <row r="37" customFormat="false" ht="15" hidden="false" customHeight="false" outlineLevel="0" collapsed="false">
      <c r="A37" s="14" t="n">
        <v>1</v>
      </c>
      <c r="B37" s="12" t="s">
        <v>9</v>
      </c>
      <c r="C37" s="14" t="n">
        <v>1</v>
      </c>
      <c r="D37" s="15" t="n">
        <f aca="false">INDEX($B$27:$B$32,MATCH(B37,$A$27:$A$32,0))/C37</f>
        <v>93448</v>
      </c>
    </row>
    <row r="38" customFormat="false" ht="15" hidden="false" customHeight="false" outlineLevel="0" collapsed="false">
      <c r="A38" s="14" t="n">
        <v>2</v>
      </c>
      <c r="B38" s="12" t="s">
        <v>25</v>
      </c>
      <c r="C38" s="14" t="n">
        <v>1</v>
      </c>
      <c r="D38" s="15" t="n">
        <f aca="false">INDEX($B$27:$B$32,MATCH(B38,$A$27:$A$32,0))/C38</f>
        <v>63251</v>
      </c>
    </row>
    <row r="39" customFormat="false" ht="15" hidden="false" customHeight="false" outlineLevel="0" collapsed="false">
      <c r="A39" s="14" t="n">
        <v>3</v>
      </c>
      <c r="B39" s="12" t="s">
        <v>24</v>
      </c>
      <c r="C39" s="14" t="n">
        <v>1</v>
      </c>
      <c r="D39" s="15" t="n">
        <f aca="false">INDEX($B$27:$B$32,MATCH(B39,$A$27:$A$32,0))/C39</f>
        <v>47531</v>
      </c>
    </row>
    <row r="40" customFormat="false" ht="15" hidden="false" customHeight="false" outlineLevel="0" collapsed="false">
      <c r="A40" s="14" t="n">
        <v>4</v>
      </c>
      <c r="B40" s="12" t="s">
        <v>9</v>
      </c>
      <c r="C40" s="14" t="n">
        <v>2</v>
      </c>
      <c r="D40" s="15" t="n">
        <f aca="false">INDEX($B$27:$B$32,MATCH(B40,$A$27:$A$32,0))/C40</f>
        <v>46724</v>
      </c>
    </row>
    <row r="41" customFormat="false" ht="15" hidden="false" customHeight="false" outlineLevel="0" collapsed="false">
      <c r="A41" s="14" t="n">
        <v>5</v>
      </c>
      <c r="B41" s="12" t="s">
        <v>11</v>
      </c>
      <c r="C41" s="14" t="n">
        <v>1</v>
      </c>
      <c r="D41" s="15" t="n">
        <f aca="false">INDEX($B$27:$B$32,MATCH(B41,$A$27:$A$32,0))/C41</f>
        <v>35344</v>
      </c>
    </row>
    <row r="42" customFormat="false" ht="15" hidden="false" customHeight="false" outlineLevel="0" collapsed="false">
      <c r="A42" s="14" t="n">
        <v>6</v>
      </c>
      <c r="B42" s="12" t="s">
        <v>10</v>
      </c>
      <c r="C42" s="14" t="n">
        <v>1</v>
      </c>
      <c r="D42" s="15" t="n">
        <f aca="false">INDEX($B$27:$B$32,MATCH(B42,$A$27:$A$32,0))/C42</f>
        <v>31626</v>
      </c>
    </row>
    <row r="43" customFormat="false" ht="15" hidden="false" customHeight="false" outlineLevel="0" collapsed="false">
      <c r="A43" s="16" t="s">
        <v>17</v>
      </c>
      <c r="B43" s="12" t="s">
        <v>25</v>
      </c>
      <c r="C43" s="12" t="n">
        <v>2</v>
      </c>
      <c r="D43" s="11" t="n">
        <f aca="false">INDEX($B$27:$B$32,MATCH(B43,$A$27:$A$32,0))/C43</f>
        <v>31625.5</v>
      </c>
    </row>
    <row r="46" customFormat="false" ht="15" hidden="false" customHeight="false" outlineLevel="0" collapsed="false">
      <c r="A46" s="5" t="s">
        <v>19</v>
      </c>
    </row>
  </sheetData>
  <conditionalFormatting sqref="C7:H12">
    <cfRule type="expression" priority="2" aboveAverage="0" equalAverage="0" bottom="0" percent="0" rank="0" text="" dxfId="0">
      <formula>C$6&lt;=$I7</formula>
    </cfRule>
  </conditionalFormatting>
  <conditionalFormatting sqref="C27:H32">
    <cfRule type="expression" priority="3" aboveAverage="0" equalAverage="0" bottom="0" percent="0" rank="0" text="" dxfId="0">
      <formula>C$26&lt;=$I27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  <c r="B3" s="4" t="n">
        <v>14648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7" t="s">
        <v>7</v>
      </c>
    </row>
    <row r="7" customFormat="false" ht="15" hidden="false" customHeight="false" outlineLevel="0" collapsed="false">
      <c r="A7" s="9" t="s">
        <v>8</v>
      </c>
      <c r="B7" s="10" t="n">
        <v>23699</v>
      </c>
      <c r="C7" s="11" t="n">
        <f aca="false">$B7/C$6</f>
        <v>23699</v>
      </c>
      <c r="D7" s="11" t="n">
        <f aca="false">$B7/D$6</f>
        <v>11849.5</v>
      </c>
      <c r="E7" s="11" t="n">
        <f aca="false">$B7/E$6</f>
        <v>7899.66666666667</v>
      </c>
      <c r="F7" s="11" t="n">
        <f aca="false">$B7/F$6</f>
        <v>5924.75</v>
      </c>
      <c r="G7" s="12" t="n">
        <v>0</v>
      </c>
    </row>
    <row r="8" customFormat="false" ht="15" hidden="false" customHeight="false" outlineLevel="0" collapsed="false">
      <c r="A8" s="9" t="s">
        <v>9</v>
      </c>
      <c r="B8" s="10" t="n">
        <v>54414</v>
      </c>
      <c r="C8" s="11" t="n">
        <f aca="false">$B8/C$6</f>
        <v>54414</v>
      </c>
      <c r="D8" s="11" t="n">
        <f aca="false">$B8/D$6</f>
        <v>27207</v>
      </c>
      <c r="E8" s="11" t="n">
        <f aca="false">$B8/E$6</f>
        <v>18138</v>
      </c>
      <c r="F8" s="11" t="n">
        <f aca="false">$B8/F$6</f>
        <v>13603.5</v>
      </c>
      <c r="G8" s="12" t="n">
        <v>2</v>
      </c>
    </row>
    <row r="9" customFormat="false" ht="15" hidden="false" customHeight="false" outlineLevel="0" collapsed="false">
      <c r="A9" s="9" t="s">
        <v>10</v>
      </c>
      <c r="B9" s="10" t="n">
        <v>12560</v>
      </c>
      <c r="C9" s="11" t="n">
        <f aca="false">$B9/C$6</f>
        <v>12560</v>
      </c>
      <c r="D9" s="11" t="n">
        <f aca="false">$B9/D$6</f>
        <v>6280</v>
      </c>
      <c r="E9" s="11" t="n">
        <f aca="false">$B9/E$6</f>
        <v>4186.66666666667</v>
      </c>
      <c r="F9" s="11" t="n">
        <f aca="false">$B9/F$6</f>
        <v>3140</v>
      </c>
      <c r="G9" s="12" t="n">
        <v>0</v>
      </c>
    </row>
    <row r="10" customFormat="false" ht="15" hidden="false" customHeight="false" outlineLevel="0" collapsed="false">
      <c r="A10" s="9" t="s">
        <v>24</v>
      </c>
      <c r="B10" s="10" t="n">
        <v>34331</v>
      </c>
      <c r="C10" s="11" t="n">
        <f aca="false">$B10/C$6</f>
        <v>34331</v>
      </c>
      <c r="D10" s="11" t="n">
        <f aca="false">$B10/D$6</f>
        <v>17165.5</v>
      </c>
      <c r="E10" s="11" t="n">
        <f aca="false">$B10/E$6</f>
        <v>11443.6666666667</v>
      </c>
      <c r="F10" s="11" t="n">
        <f aca="false">$B10/F$6</f>
        <v>8582.75</v>
      </c>
      <c r="G10" s="12" t="n">
        <v>1</v>
      </c>
    </row>
    <row r="11" customFormat="false" ht="15" hidden="false" customHeight="false" outlineLevel="0" collapsed="false">
      <c r="A11" s="9" t="s">
        <v>25</v>
      </c>
      <c r="B11" s="10" t="n">
        <v>33228</v>
      </c>
      <c r="C11" s="11" t="n">
        <f aca="false">$B11/C$6</f>
        <v>33228</v>
      </c>
      <c r="D11" s="11" t="n">
        <f aca="false">$B11/D$6</f>
        <v>16614</v>
      </c>
      <c r="E11" s="11" t="n">
        <f aca="false">$B11/E$6</f>
        <v>11076</v>
      </c>
      <c r="F11" s="11" t="n">
        <f aca="false">$B11/F$6</f>
        <v>8307</v>
      </c>
      <c r="G11" s="12" t="n">
        <v>1</v>
      </c>
    </row>
    <row r="12" customFormat="false" ht="15" hidden="false" customHeight="false" outlineLevel="0" collapsed="false">
      <c r="A12" s="2" t="s">
        <v>12</v>
      </c>
      <c r="B12" s="13" t="n">
        <f aca="false">SUM(B7:B11)</f>
        <v>158232</v>
      </c>
      <c r="G12" s="2" t="n">
        <f aca="false">SUM(G7:G11)</f>
        <v>4</v>
      </c>
      <c r="H12" s="2" t="str">
        <f aca="false">IF(G12=$B$2,"✔ suma = escaños","✘ revisar")</f>
        <v>✔ suma = escaños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7" t="s">
        <v>14</v>
      </c>
      <c r="B15" s="7" t="s">
        <v>5</v>
      </c>
      <c r="C15" s="7" t="s">
        <v>15</v>
      </c>
      <c r="D15" s="7" t="s">
        <v>16</v>
      </c>
    </row>
    <row r="16" customFormat="false" ht="15" hidden="false" customHeight="false" outlineLevel="0" collapsed="false">
      <c r="A16" s="14" t="n">
        <v>1</v>
      </c>
      <c r="B16" s="12" t="s">
        <v>9</v>
      </c>
      <c r="C16" s="14" t="n">
        <v>1</v>
      </c>
      <c r="D16" s="15" t="n">
        <f aca="false">INDEX($B$7:$B$11,MATCH(B16,$A$7:$A$11,0))/C16</f>
        <v>54414</v>
      </c>
    </row>
    <row r="17" customFormat="false" ht="15" hidden="false" customHeight="false" outlineLevel="0" collapsed="false">
      <c r="A17" s="14" t="n">
        <v>2</v>
      </c>
      <c r="B17" s="12" t="s">
        <v>24</v>
      </c>
      <c r="C17" s="14" t="n">
        <v>1</v>
      </c>
      <c r="D17" s="15" t="n">
        <f aca="false">INDEX($B$7:$B$11,MATCH(B17,$A$7:$A$11,0))/C17</f>
        <v>34331</v>
      </c>
    </row>
    <row r="18" customFormat="false" ht="15" hidden="false" customHeight="false" outlineLevel="0" collapsed="false">
      <c r="A18" s="14" t="n">
        <v>3</v>
      </c>
      <c r="B18" s="12" t="s">
        <v>25</v>
      </c>
      <c r="C18" s="14" t="n">
        <v>1</v>
      </c>
      <c r="D18" s="15" t="n">
        <f aca="false">INDEX($B$7:$B$11,MATCH(B18,$A$7:$A$11,0))/C18</f>
        <v>33228</v>
      </c>
    </row>
    <row r="19" customFormat="false" ht="15" hidden="false" customHeight="false" outlineLevel="0" collapsed="false">
      <c r="A19" s="14" t="n">
        <v>4</v>
      </c>
      <c r="B19" s="12" t="s">
        <v>9</v>
      </c>
      <c r="C19" s="14" t="n">
        <v>2</v>
      </c>
      <c r="D19" s="15" t="n">
        <f aca="false">INDEX($B$7:$B$11,MATCH(B19,$A$7:$A$11,0))/C19</f>
        <v>27207</v>
      </c>
    </row>
    <row r="20" customFormat="false" ht="15" hidden="false" customHeight="false" outlineLevel="0" collapsed="false">
      <c r="A20" s="16" t="s">
        <v>17</v>
      </c>
      <c r="B20" s="12" t="s">
        <v>8</v>
      </c>
      <c r="C20" s="12" t="n">
        <v>1</v>
      </c>
      <c r="D20" s="11" t="n">
        <f aca="false">INDEX($B$7:$B$11,MATCH(B20,$A$7:$A$11,0))/C20</f>
        <v>23699</v>
      </c>
    </row>
    <row r="22" customFormat="false" ht="15" hidden="false" customHeight="false" outlineLevel="0" collapsed="false">
      <c r="A22" s="6" t="s">
        <v>18</v>
      </c>
    </row>
    <row r="23" customFormat="false" ht="15" hidden="false" customHeight="false" outlineLevel="0" collapsed="false">
      <c r="A23" s="17" t="s">
        <v>5</v>
      </c>
      <c r="B23" s="17" t="s">
        <v>6</v>
      </c>
      <c r="C23" s="18" t="n">
        <v>1</v>
      </c>
      <c r="D23" s="18" t="n">
        <v>2</v>
      </c>
      <c r="E23" s="18" t="n">
        <v>3</v>
      </c>
      <c r="F23" s="18" t="n">
        <v>4</v>
      </c>
      <c r="G23" s="17" t="s">
        <v>7</v>
      </c>
    </row>
    <row r="24" customFormat="false" ht="15" hidden="false" customHeight="false" outlineLevel="0" collapsed="false">
      <c r="A24" s="9" t="s">
        <v>8</v>
      </c>
      <c r="B24" s="19" t="n">
        <f aca="false">B7-$B$3</f>
        <v>9051</v>
      </c>
      <c r="C24" s="11" t="n">
        <f aca="false">$B24/C$23</f>
        <v>9051</v>
      </c>
      <c r="D24" s="11" t="n">
        <f aca="false">$B24/D$23</f>
        <v>4525.5</v>
      </c>
      <c r="E24" s="11" t="n">
        <f aca="false">$B24/E$23</f>
        <v>3017</v>
      </c>
      <c r="F24" s="11" t="n">
        <f aca="false">$B24/F$23</f>
        <v>2262.75</v>
      </c>
      <c r="G24" s="12" t="n">
        <v>0</v>
      </c>
    </row>
    <row r="25" customFormat="false" ht="15" hidden="false" customHeight="false" outlineLevel="0" collapsed="false">
      <c r="A25" s="9" t="s">
        <v>9</v>
      </c>
      <c r="B25" s="10" t="n">
        <f aca="false">B8</f>
        <v>54414</v>
      </c>
      <c r="C25" s="11" t="n">
        <f aca="false">$B25/C$23</f>
        <v>54414</v>
      </c>
      <c r="D25" s="11" t="n">
        <f aca="false">$B25/D$23</f>
        <v>27207</v>
      </c>
      <c r="E25" s="11" t="n">
        <f aca="false">$B25/E$23</f>
        <v>18138</v>
      </c>
      <c r="F25" s="11" t="n">
        <f aca="false">$B25/F$23</f>
        <v>13603.5</v>
      </c>
      <c r="G25" s="12" t="n">
        <v>1</v>
      </c>
    </row>
    <row r="26" customFormat="false" ht="15" hidden="false" customHeight="false" outlineLevel="0" collapsed="false">
      <c r="A26" s="9" t="s">
        <v>10</v>
      </c>
      <c r="B26" s="19" t="n">
        <f aca="false">B9+$B$3</f>
        <v>27208</v>
      </c>
      <c r="C26" s="11" t="n">
        <f aca="false">$B26/C$23</f>
        <v>27208</v>
      </c>
      <c r="D26" s="11" t="n">
        <f aca="false">$B26/D$23</f>
        <v>13604</v>
      </c>
      <c r="E26" s="11" t="n">
        <f aca="false">$B26/E$23</f>
        <v>9069.33333333333</v>
      </c>
      <c r="F26" s="11" t="n">
        <f aca="false">$B26/F$23</f>
        <v>6802</v>
      </c>
      <c r="G26" s="12" t="n">
        <v>1</v>
      </c>
    </row>
    <row r="27" customFormat="false" ht="15" hidden="false" customHeight="false" outlineLevel="0" collapsed="false">
      <c r="A27" s="9" t="s">
        <v>24</v>
      </c>
      <c r="B27" s="10" t="n">
        <f aca="false">B10</f>
        <v>34331</v>
      </c>
      <c r="C27" s="11" t="n">
        <f aca="false">$B27/C$23</f>
        <v>34331</v>
      </c>
      <c r="D27" s="11" t="n">
        <f aca="false">$B27/D$23</f>
        <v>17165.5</v>
      </c>
      <c r="E27" s="11" t="n">
        <f aca="false">$B27/E$23</f>
        <v>11443.6666666667</v>
      </c>
      <c r="F27" s="11" t="n">
        <f aca="false">$B27/F$23</f>
        <v>8582.75</v>
      </c>
      <c r="G27" s="12" t="n">
        <v>1</v>
      </c>
    </row>
    <row r="28" customFormat="false" ht="15" hidden="false" customHeight="false" outlineLevel="0" collapsed="false">
      <c r="A28" s="9" t="s">
        <v>25</v>
      </c>
      <c r="B28" s="10" t="n">
        <f aca="false">B11</f>
        <v>33228</v>
      </c>
      <c r="C28" s="11" t="n">
        <f aca="false">$B28/C$23</f>
        <v>33228</v>
      </c>
      <c r="D28" s="11" t="n">
        <f aca="false">$B28/D$23</f>
        <v>16614</v>
      </c>
      <c r="E28" s="11" t="n">
        <f aca="false">$B28/E$23</f>
        <v>11076</v>
      </c>
      <c r="F28" s="11" t="n">
        <f aca="false">$B28/F$23</f>
        <v>8307</v>
      </c>
      <c r="G28" s="12" t="n">
        <v>1</v>
      </c>
    </row>
    <row r="29" customFormat="false" ht="15" hidden="false" customHeight="false" outlineLevel="0" collapsed="false">
      <c r="A29" s="2" t="s">
        <v>12</v>
      </c>
      <c r="B29" s="13" t="n">
        <f aca="false">SUM(B24:B28)</f>
        <v>158232</v>
      </c>
      <c r="G29" s="2" t="n">
        <f aca="false">SUM(G24:G28)</f>
        <v>4</v>
      </c>
      <c r="H29" s="2" t="str">
        <f aca="false">IF(G29=$B$2,"✔ suma = escaños","✘ revisar")</f>
        <v>✔ suma = escaños</v>
      </c>
    </row>
    <row r="31" customFormat="false" ht="15" hidden="false" customHeight="false" outlineLevel="0" collapsed="false">
      <c r="A31" s="2" t="s">
        <v>13</v>
      </c>
    </row>
    <row r="32" customFormat="false" ht="15" hidden="false" customHeight="false" outlineLevel="0" collapsed="false">
      <c r="A32" s="17" t="s">
        <v>14</v>
      </c>
      <c r="B32" s="17" t="s">
        <v>5</v>
      </c>
      <c r="C32" s="17" t="s">
        <v>15</v>
      </c>
      <c r="D32" s="17" t="s">
        <v>16</v>
      </c>
    </row>
    <row r="33" customFormat="false" ht="15" hidden="false" customHeight="false" outlineLevel="0" collapsed="false">
      <c r="A33" s="14" t="n">
        <v>1</v>
      </c>
      <c r="B33" s="12" t="s">
        <v>9</v>
      </c>
      <c r="C33" s="14" t="n">
        <v>1</v>
      </c>
      <c r="D33" s="15" t="n">
        <f aca="false">INDEX($B$24:$B$28,MATCH(B33,$A$24:$A$28,0))/C33</f>
        <v>54414</v>
      </c>
    </row>
    <row r="34" customFormat="false" ht="15" hidden="false" customHeight="false" outlineLevel="0" collapsed="false">
      <c r="A34" s="14" t="n">
        <v>2</v>
      </c>
      <c r="B34" s="12" t="s">
        <v>24</v>
      </c>
      <c r="C34" s="14" t="n">
        <v>1</v>
      </c>
      <c r="D34" s="15" t="n">
        <f aca="false">INDEX($B$24:$B$28,MATCH(B34,$A$24:$A$28,0))/C34</f>
        <v>34331</v>
      </c>
    </row>
    <row r="35" customFormat="false" ht="15" hidden="false" customHeight="false" outlineLevel="0" collapsed="false">
      <c r="A35" s="14" t="n">
        <v>3</v>
      </c>
      <c r="B35" s="12" t="s">
        <v>25</v>
      </c>
      <c r="C35" s="14" t="n">
        <v>1</v>
      </c>
      <c r="D35" s="15" t="n">
        <f aca="false">INDEX($B$24:$B$28,MATCH(B35,$A$24:$A$28,0))/C35</f>
        <v>33228</v>
      </c>
    </row>
    <row r="36" customFormat="false" ht="15" hidden="false" customHeight="false" outlineLevel="0" collapsed="false">
      <c r="A36" s="14" t="n">
        <v>4</v>
      </c>
      <c r="B36" s="12" t="s">
        <v>10</v>
      </c>
      <c r="C36" s="14" t="n">
        <v>1</v>
      </c>
      <c r="D36" s="15" t="n">
        <f aca="false">INDEX($B$24:$B$28,MATCH(B36,$A$24:$A$28,0))/C36</f>
        <v>27208</v>
      </c>
    </row>
    <row r="37" customFormat="false" ht="15" hidden="false" customHeight="false" outlineLevel="0" collapsed="false">
      <c r="A37" s="16" t="s">
        <v>17</v>
      </c>
      <c r="B37" s="12" t="s">
        <v>9</v>
      </c>
      <c r="C37" s="12" t="n">
        <v>2</v>
      </c>
      <c r="D37" s="11" t="n">
        <f aca="false">INDEX($B$24:$B$28,MATCH(B37,$A$24:$A$28,0))/C37</f>
        <v>27207</v>
      </c>
    </row>
    <row r="40" customFormat="false" ht="15" hidden="false" customHeight="false" outlineLevel="0" collapsed="false">
      <c r="A40" s="5" t="s">
        <v>19</v>
      </c>
    </row>
  </sheetData>
  <conditionalFormatting sqref="C7:F11">
    <cfRule type="expression" priority="2" aboveAverage="0" equalAverage="0" bottom="0" percent="0" rank="0" text="" dxfId="0">
      <formula>C$6&lt;=$G7</formula>
    </cfRule>
  </conditionalFormatting>
  <conditionalFormatting sqref="C24:F28">
    <cfRule type="expression" priority="3" aboveAverage="0" equalAverage="0" bottom="0" percent="0" rank="0" text="" dxfId="0">
      <formula>C$23&lt;=$G24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9" min="3" style="0" width="11"/>
    <col collapsed="false" customWidth="true" hidden="false" outlineLevel="0" max="10" min="10" style="0" width="20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1</v>
      </c>
      <c r="B2" s="3" t="n">
        <v>6</v>
      </c>
    </row>
    <row r="3" customFormat="false" ht="15" hidden="false" customHeight="false" outlineLevel="0" collapsed="false">
      <c r="A3" s="2" t="s">
        <v>2</v>
      </c>
      <c r="B3" s="4" t="n">
        <v>2753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7" t="s">
        <v>7</v>
      </c>
    </row>
    <row r="7" customFormat="false" ht="15" hidden="false" customHeight="false" outlineLevel="0" collapsed="false">
      <c r="A7" s="9" t="s">
        <v>8</v>
      </c>
      <c r="B7" s="10" t="n">
        <v>51061</v>
      </c>
      <c r="C7" s="11" t="n">
        <f aca="false">$B7/C$6</f>
        <v>51061</v>
      </c>
      <c r="D7" s="11" t="n">
        <f aca="false">$B7/D$6</f>
        <v>25530.5</v>
      </c>
      <c r="E7" s="11" t="n">
        <f aca="false">$B7/E$6</f>
        <v>17020.3333333333</v>
      </c>
      <c r="F7" s="11" t="n">
        <f aca="false">$B7/F$6</f>
        <v>12765.25</v>
      </c>
      <c r="G7" s="11" t="n">
        <f aca="false">$B7/G$6</f>
        <v>10212.2</v>
      </c>
      <c r="H7" s="11" t="n">
        <f aca="false">$B7/H$6</f>
        <v>8510.16666666667</v>
      </c>
      <c r="I7" s="12" t="n">
        <v>1</v>
      </c>
    </row>
    <row r="8" customFormat="false" ht="15" hidden="false" customHeight="false" outlineLevel="0" collapsed="false">
      <c r="A8" s="9" t="s">
        <v>9</v>
      </c>
      <c r="B8" s="10" t="n">
        <v>121126</v>
      </c>
      <c r="C8" s="11" t="n">
        <f aca="false">$B8/C$6</f>
        <v>121126</v>
      </c>
      <c r="D8" s="11" t="n">
        <f aca="false">$B8/D$6</f>
        <v>60563</v>
      </c>
      <c r="E8" s="11" t="n">
        <f aca="false">$B8/E$6</f>
        <v>40375.3333333333</v>
      </c>
      <c r="F8" s="11" t="n">
        <f aca="false">$B8/F$6</f>
        <v>30281.5</v>
      </c>
      <c r="G8" s="11" t="n">
        <f aca="false">$B8/G$6</f>
        <v>24225.2</v>
      </c>
      <c r="H8" s="11" t="n">
        <f aca="false">$B8/H$6</f>
        <v>20187.6666666667</v>
      </c>
      <c r="I8" s="12" t="n">
        <v>2</v>
      </c>
    </row>
    <row r="9" customFormat="false" ht="15" hidden="false" customHeight="false" outlineLevel="0" collapsed="false">
      <c r="A9" s="9" t="s">
        <v>10</v>
      </c>
      <c r="B9" s="10" t="n">
        <v>38039</v>
      </c>
      <c r="C9" s="11" t="n">
        <f aca="false">$B9/C$6</f>
        <v>38039</v>
      </c>
      <c r="D9" s="11" t="n">
        <f aca="false">$B9/D$6</f>
        <v>19019.5</v>
      </c>
      <c r="E9" s="11" t="n">
        <f aca="false">$B9/E$6</f>
        <v>12679.6666666667</v>
      </c>
      <c r="F9" s="11" t="n">
        <f aca="false">$B9/F$6</f>
        <v>9509.75</v>
      </c>
      <c r="G9" s="11" t="n">
        <f aca="false">$B9/G$6</f>
        <v>7607.8</v>
      </c>
      <c r="H9" s="11" t="n">
        <f aca="false">$B9/H$6</f>
        <v>6339.83333333333</v>
      </c>
      <c r="I9" s="12" t="n">
        <v>0</v>
      </c>
    </row>
    <row r="10" customFormat="false" ht="15" hidden="false" customHeight="false" outlineLevel="0" collapsed="false">
      <c r="A10" s="9" t="s">
        <v>11</v>
      </c>
      <c r="B10" s="10" t="n">
        <v>41719</v>
      </c>
      <c r="C10" s="11" t="n">
        <f aca="false">$B10/C$6</f>
        <v>41719</v>
      </c>
      <c r="D10" s="11" t="n">
        <f aca="false">$B10/D$6</f>
        <v>20859.5</v>
      </c>
      <c r="E10" s="11" t="n">
        <f aca="false">$B10/E$6</f>
        <v>13906.3333333333</v>
      </c>
      <c r="F10" s="11" t="n">
        <f aca="false">$B10/F$6</f>
        <v>10429.75</v>
      </c>
      <c r="G10" s="11" t="n">
        <f aca="false">$B10/G$6</f>
        <v>8343.8</v>
      </c>
      <c r="H10" s="11" t="n">
        <f aca="false">$B10/H$6</f>
        <v>6953.16666666667</v>
      </c>
      <c r="I10" s="12" t="n">
        <v>1</v>
      </c>
    </row>
    <row r="11" customFormat="false" ht="15" hidden="false" customHeight="false" outlineLevel="0" collapsed="false">
      <c r="A11" s="9" t="s">
        <v>24</v>
      </c>
      <c r="B11" s="10" t="n">
        <v>55461</v>
      </c>
      <c r="C11" s="11" t="n">
        <f aca="false">$B11/C$6</f>
        <v>55461</v>
      </c>
      <c r="D11" s="11" t="n">
        <f aca="false">$B11/D$6</f>
        <v>27730.5</v>
      </c>
      <c r="E11" s="11" t="n">
        <f aca="false">$B11/E$6</f>
        <v>18487</v>
      </c>
      <c r="F11" s="11" t="n">
        <f aca="false">$B11/F$6</f>
        <v>13865.25</v>
      </c>
      <c r="G11" s="11" t="n">
        <f aca="false">$B11/G$6</f>
        <v>11092.2</v>
      </c>
      <c r="H11" s="11" t="n">
        <f aca="false">$B11/H$6</f>
        <v>9243.5</v>
      </c>
      <c r="I11" s="12" t="n">
        <v>1</v>
      </c>
    </row>
    <row r="12" customFormat="false" ht="15" hidden="false" customHeight="false" outlineLevel="0" collapsed="false">
      <c r="A12" s="9" t="s">
        <v>25</v>
      </c>
      <c r="B12" s="10" t="n">
        <v>40791</v>
      </c>
      <c r="C12" s="11" t="n">
        <f aca="false">$B12/C$6</f>
        <v>40791</v>
      </c>
      <c r="D12" s="11" t="n">
        <f aca="false">$B12/D$6</f>
        <v>20395.5</v>
      </c>
      <c r="E12" s="11" t="n">
        <f aca="false">$B12/E$6</f>
        <v>13597</v>
      </c>
      <c r="F12" s="11" t="n">
        <f aca="false">$B12/F$6</f>
        <v>10197.75</v>
      </c>
      <c r="G12" s="11" t="n">
        <f aca="false">$B12/G$6</f>
        <v>8158.2</v>
      </c>
      <c r="H12" s="11" t="n">
        <f aca="false">$B12/H$6</f>
        <v>6798.5</v>
      </c>
      <c r="I12" s="12" t="n">
        <v>1</v>
      </c>
    </row>
    <row r="13" customFormat="false" ht="15" hidden="false" customHeight="false" outlineLevel="0" collapsed="false">
      <c r="A13" s="2" t="s">
        <v>12</v>
      </c>
      <c r="B13" s="13" t="n">
        <f aca="false">SUM(B7:B12)</f>
        <v>348197</v>
      </c>
      <c r="I13" s="2" t="n">
        <f aca="false">SUM(I7:I12)</f>
        <v>6</v>
      </c>
      <c r="J13" s="2" t="str">
        <f aca="false">IF(I13=$B$2,"✔ suma = escaños","✘ revisar")</f>
        <v>✔ suma = escaños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7" t="s">
        <v>14</v>
      </c>
      <c r="B16" s="7" t="s">
        <v>5</v>
      </c>
      <c r="C16" s="7" t="s">
        <v>15</v>
      </c>
      <c r="D16" s="7" t="s">
        <v>16</v>
      </c>
    </row>
    <row r="17" customFormat="false" ht="15" hidden="false" customHeight="false" outlineLevel="0" collapsed="false">
      <c r="A17" s="14" t="n">
        <v>1</v>
      </c>
      <c r="B17" s="12" t="s">
        <v>9</v>
      </c>
      <c r="C17" s="14" t="n">
        <v>1</v>
      </c>
      <c r="D17" s="15" t="n">
        <f aca="false">INDEX($B$7:$B$12,MATCH(B17,$A$7:$A$12,0))/C17</f>
        <v>121126</v>
      </c>
    </row>
    <row r="18" customFormat="false" ht="15" hidden="false" customHeight="false" outlineLevel="0" collapsed="false">
      <c r="A18" s="14" t="n">
        <v>2</v>
      </c>
      <c r="B18" s="12" t="s">
        <v>9</v>
      </c>
      <c r="C18" s="14" t="n">
        <v>2</v>
      </c>
      <c r="D18" s="15" t="n">
        <f aca="false">INDEX($B$7:$B$12,MATCH(B18,$A$7:$A$12,0))/C18</f>
        <v>60563</v>
      </c>
    </row>
    <row r="19" customFormat="false" ht="15" hidden="false" customHeight="false" outlineLevel="0" collapsed="false">
      <c r="A19" s="14" t="n">
        <v>3</v>
      </c>
      <c r="B19" s="12" t="s">
        <v>24</v>
      </c>
      <c r="C19" s="14" t="n">
        <v>1</v>
      </c>
      <c r="D19" s="15" t="n">
        <f aca="false">INDEX($B$7:$B$12,MATCH(B19,$A$7:$A$12,0))/C19</f>
        <v>55461</v>
      </c>
    </row>
    <row r="20" customFormat="false" ht="15" hidden="false" customHeight="false" outlineLevel="0" collapsed="false">
      <c r="A20" s="14" t="n">
        <v>4</v>
      </c>
      <c r="B20" s="12" t="s">
        <v>8</v>
      </c>
      <c r="C20" s="14" t="n">
        <v>1</v>
      </c>
      <c r="D20" s="15" t="n">
        <f aca="false">INDEX($B$7:$B$12,MATCH(B20,$A$7:$A$12,0))/C20</f>
        <v>51061</v>
      </c>
    </row>
    <row r="21" customFormat="false" ht="15" hidden="false" customHeight="false" outlineLevel="0" collapsed="false">
      <c r="A21" s="14" t="n">
        <v>5</v>
      </c>
      <c r="B21" s="12" t="s">
        <v>11</v>
      </c>
      <c r="C21" s="14" t="n">
        <v>1</v>
      </c>
      <c r="D21" s="15" t="n">
        <f aca="false">INDEX($B$7:$B$12,MATCH(B21,$A$7:$A$12,0))/C21</f>
        <v>41719</v>
      </c>
    </row>
    <row r="22" customFormat="false" ht="15" hidden="false" customHeight="false" outlineLevel="0" collapsed="false">
      <c r="A22" s="14" t="n">
        <v>6</v>
      </c>
      <c r="B22" s="12" t="s">
        <v>25</v>
      </c>
      <c r="C22" s="14" t="n">
        <v>1</v>
      </c>
      <c r="D22" s="15" t="n">
        <f aca="false">INDEX($B$7:$B$12,MATCH(B22,$A$7:$A$12,0))/C22</f>
        <v>40791</v>
      </c>
    </row>
    <row r="23" customFormat="false" ht="15" hidden="false" customHeight="false" outlineLevel="0" collapsed="false">
      <c r="A23" s="16" t="s">
        <v>17</v>
      </c>
      <c r="B23" s="12" t="s">
        <v>9</v>
      </c>
      <c r="C23" s="12" t="n">
        <v>3</v>
      </c>
      <c r="D23" s="11" t="n">
        <f aca="false">INDEX($B$7:$B$12,MATCH(B23,$A$7:$A$12,0))/C23</f>
        <v>40375.3333333333</v>
      </c>
    </row>
    <row r="25" customFormat="false" ht="15" hidden="false" customHeight="false" outlineLevel="0" collapsed="false">
      <c r="A25" s="6" t="s">
        <v>18</v>
      </c>
    </row>
    <row r="26" customFormat="false" ht="15" hidden="false" customHeight="false" outlineLevel="0" collapsed="false">
      <c r="A26" s="17" t="s">
        <v>5</v>
      </c>
      <c r="B26" s="17" t="s">
        <v>6</v>
      </c>
      <c r="C26" s="18" t="n">
        <v>1</v>
      </c>
      <c r="D26" s="18" t="n">
        <v>2</v>
      </c>
      <c r="E26" s="18" t="n">
        <v>3</v>
      </c>
      <c r="F26" s="18" t="n">
        <v>4</v>
      </c>
      <c r="G26" s="18" t="n">
        <v>5</v>
      </c>
      <c r="H26" s="18" t="n">
        <v>6</v>
      </c>
      <c r="I26" s="17" t="s">
        <v>7</v>
      </c>
    </row>
    <row r="27" customFormat="false" ht="15" hidden="false" customHeight="false" outlineLevel="0" collapsed="false">
      <c r="A27" s="9" t="s">
        <v>8</v>
      </c>
      <c r="B27" s="19" t="n">
        <f aca="false">B7-$B$3</f>
        <v>48308</v>
      </c>
      <c r="C27" s="11" t="n">
        <f aca="false">$B27/C$26</f>
        <v>48308</v>
      </c>
      <c r="D27" s="11" t="n">
        <f aca="false">$B27/D$26</f>
        <v>24154</v>
      </c>
      <c r="E27" s="11" t="n">
        <f aca="false">$B27/E$26</f>
        <v>16102.6666666667</v>
      </c>
      <c r="F27" s="11" t="n">
        <f aca="false">$B27/F$26</f>
        <v>12077</v>
      </c>
      <c r="G27" s="11" t="n">
        <f aca="false">$B27/G$26</f>
        <v>9661.6</v>
      </c>
      <c r="H27" s="11" t="n">
        <f aca="false">$B27/H$26</f>
        <v>8051.33333333333</v>
      </c>
      <c r="I27" s="12" t="n">
        <v>1</v>
      </c>
    </row>
    <row r="28" customFormat="false" ht="15" hidden="false" customHeight="false" outlineLevel="0" collapsed="false">
      <c r="A28" s="9" t="s">
        <v>9</v>
      </c>
      <c r="B28" s="10" t="n">
        <f aca="false">B8</f>
        <v>121126</v>
      </c>
      <c r="C28" s="11" t="n">
        <f aca="false">$B28/C$26</f>
        <v>121126</v>
      </c>
      <c r="D28" s="11" t="n">
        <f aca="false">$B28/D$26</f>
        <v>60563</v>
      </c>
      <c r="E28" s="11" t="n">
        <f aca="false">$B28/E$26</f>
        <v>40375.3333333333</v>
      </c>
      <c r="F28" s="11" t="n">
        <f aca="false">$B28/F$26</f>
        <v>30281.5</v>
      </c>
      <c r="G28" s="11" t="n">
        <f aca="false">$B28/G$26</f>
        <v>24225.2</v>
      </c>
      <c r="H28" s="11" t="n">
        <f aca="false">$B28/H$26</f>
        <v>20187.6666666667</v>
      </c>
      <c r="I28" s="12" t="n">
        <v>2</v>
      </c>
    </row>
    <row r="29" customFormat="false" ht="15" hidden="false" customHeight="false" outlineLevel="0" collapsed="false">
      <c r="A29" s="9" t="s">
        <v>10</v>
      </c>
      <c r="B29" s="19" t="n">
        <f aca="false">B9+$B$3</f>
        <v>40792</v>
      </c>
      <c r="C29" s="11" t="n">
        <f aca="false">$B29/C$26</f>
        <v>40792</v>
      </c>
      <c r="D29" s="11" t="n">
        <f aca="false">$B29/D$26</f>
        <v>20396</v>
      </c>
      <c r="E29" s="11" t="n">
        <f aca="false">$B29/E$26</f>
        <v>13597.3333333333</v>
      </c>
      <c r="F29" s="11" t="n">
        <f aca="false">$B29/F$26</f>
        <v>10198</v>
      </c>
      <c r="G29" s="11" t="n">
        <f aca="false">$B29/G$26</f>
        <v>8158.4</v>
      </c>
      <c r="H29" s="11" t="n">
        <f aca="false">$B29/H$26</f>
        <v>6798.66666666667</v>
      </c>
      <c r="I29" s="12" t="n">
        <v>1</v>
      </c>
    </row>
    <row r="30" customFormat="false" ht="15" hidden="false" customHeight="false" outlineLevel="0" collapsed="false">
      <c r="A30" s="9" t="s">
        <v>11</v>
      </c>
      <c r="B30" s="10" t="n">
        <f aca="false">B10</f>
        <v>41719</v>
      </c>
      <c r="C30" s="11" t="n">
        <f aca="false">$B30/C$26</f>
        <v>41719</v>
      </c>
      <c r="D30" s="11" t="n">
        <f aca="false">$B30/D$26</f>
        <v>20859.5</v>
      </c>
      <c r="E30" s="11" t="n">
        <f aca="false">$B30/E$26</f>
        <v>13906.3333333333</v>
      </c>
      <c r="F30" s="11" t="n">
        <f aca="false">$B30/F$26</f>
        <v>10429.75</v>
      </c>
      <c r="G30" s="11" t="n">
        <f aca="false">$B30/G$26</f>
        <v>8343.8</v>
      </c>
      <c r="H30" s="11" t="n">
        <f aca="false">$B30/H$26</f>
        <v>6953.16666666667</v>
      </c>
      <c r="I30" s="12" t="n">
        <v>1</v>
      </c>
    </row>
    <row r="31" customFormat="false" ht="15" hidden="false" customHeight="false" outlineLevel="0" collapsed="false">
      <c r="A31" s="9" t="s">
        <v>24</v>
      </c>
      <c r="B31" s="10" t="n">
        <f aca="false">B11</f>
        <v>55461</v>
      </c>
      <c r="C31" s="11" t="n">
        <f aca="false">$B31/C$26</f>
        <v>55461</v>
      </c>
      <c r="D31" s="11" t="n">
        <f aca="false">$B31/D$26</f>
        <v>27730.5</v>
      </c>
      <c r="E31" s="11" t="n">
        <f aca="false">$B31/E$26</f>
        <v>18487</v>
      </c>
      <c r="F31" s="11" t="n">
        <f aca="false">$B31/F$26</f>
        <v>13865.25</v>
      </c>
      <c r="G31" s="11" t="n">
        <f aca="false">$B31/G$26</f>
        <v>11092.2</v>
      </c>
      <c r="H31" s="11" t="n">
        <f aca="false">$B31/H$26</f>
        <v>9243.5</v>
      </c>
      <c r="I31" s="12" t="n">
        <v>1</v>
      </c>
    </row>
    <row r="32" customFormat="false" ht="15" hidden="false" customHeight="false" outlineLevel="0" collapsed="false">
      <c r="A32" s="9" t="s">
        <v>25</v>
      </c>
      <c r="B32" s="10" t="n">
        <f aca="false">B12</f>
        <v>40791</v>
      </c>
      <c r="C32" s="11" t="n">
        <f aca="false">$B32/C$26</f>
        <v>40791</v>
      </c>
      <c r="D32" s="11" t="n">
        <f aca="false">$B32/D$26</f>
        <v>20395.5</v>
      </c>
      <c r="E32" s="11" t="n">
        <f aca="false">$B32/E$26</f>
        <v>13597</v>
      </c>
      <c r="F32" s="11" t="n">
        <f aca="false">$B32/F$26</f>
        <v>10197.75</v>
      </c>
      <c r="G32" s="11" t="n">
        <f aca="false">$B32/G$26</f>
        <v>8158.2</v>
      </c>
      <c r="H32" s="11" t="n">
        <f aca="false">$B32/H$26</f>
        <v>6798.5</v>
      </c>
      <c r="I32" s="12" t="n">
        <v>0</v>
      </c>
    </row>
    <row r="33" customFormat="false" ht="15" hidden="false" customHeight="false" outlineLevel="0" collapsed="false">
      <c r="A33" s="2" t="s">
        <v>12</v>
      </c>
      <c r="B33" s="13" t="n">
        <f aca="false">SUM(B27:B32)</f>
        <v>348197</v>
      </c>
      <c r="I33" s="2" t="n">
        <f aca="false">SUM(I27:I32)</f>
        <v>6</v>
      </c>
      <c r="J33" s="2" t="str">
        <f aca="false">IF(I33=$B$2,"✔ suma = escaños","✘ revisar")</f>
        <v>✔ suma = escaños</v>
      </c>
    </row>
    <row r="35" customFormat="false" ht="15" hidden="false" customHeight="false" outlineLevel="0" collapsed="false">
      <c r="A35" s="2" t="s">
        <v>13</v>
      </c>
    </row>
    <row r="36" customFormat="false" ht="15" hidden="false" customHeight="false" outlineLevel="0" collapsed="false">
      <c r="A36" s="17" t="s">
        <v>14</v>
      </c>
      <c r="B36" s="17" t="s">
        <v>5</v>
      </c>
      <c r="C36" s="17" t="s">
        <v>15</v>
      </c>
      <c r="D36" s="17" t="s">
        <v>16</v>
      </c>
    </row>
    <row r="37" customFormat="false" ht="15" hidden="false" customHeight="false" outlineLevel="0" collapsed="false">
      <c r="A37" s="14" t="n">
        <v>1</v>
      </c>
      <c r="B37" s="12" t="s">
        <v>9</v>
      </c>
      <c r="C37" s="14" t="n">
        <v>1</v>
      </c>
      <c r="D37" s="15" t="n">
        <f aca="false">INDEX($B$27:$B$32,MATCH(B37,$A$27:$A$32,0))/C37</f>
        <v>121126</v>
      </c>
    </row>
    <row r="38" customFormat="false" ht="15" hidden="false" customHeight="false" outlineLevel="0" collapsed="false">
      <c r="A38" s="14" t="n">
        <v>2</v>
      </c>
      <c r="B38" s="12" t="s">
        <v>9</v>
      </c>
      <c r="C38" s="14" t="n">
        <v>2</v>
      </c>
      <c r="D38" s="15" t="n">
        <f aca="false">INDEX($B$27:$B$32,MATCH(B38,$A$27:$A$32,0))/C38</f>
        <v>60563</v>
      </c>
    </row>
    <row r="39" customFormat="false" ht="15" hidden="false" customHeight="false" outlineLevel="0" collapsed="false">
      <c r="A39" s="14" t="n">
        <v>3</v>
      </c>
      <c r="B39" s="12" t="s">
        <v>24</v>
      </c>
      <c r="C39" s="14" t="n">
        <v>1</v>
      </c>
      <c r="D39" s="15" t="n">
        <f aca="false">INDEX($B$27:$B$32,MATCH(B39,$A$27:$A$32,0))/C39</f>
        <v>55461</v>
      </c>
    </row>
    <row r="40" customFormat="false" ht="15" hidden="false" customHeight="false" outlineLevel="0" collapsed="false">
      <c r="A40" s="14" t="n">
        <v>4</v>
      </c>
      <c r="B40" s="12" t="s">
        <v>8</v>
      </c>
      <c r="C40" s="14" t="n">
        <v>1</v>
      </c>
      <c r="D40" s="15" t="n">
        <f aca="false">INDEX($B$27:$B$32,MATCH(B40,$A$27:$A$32,0))/C40</f>
        <v>48308</v>
      </c>
    </row>
    <row r="41" customFormat="false" ht="15" hidden="false" customHeight="false" outlineLevel="0" collapsed="false">
      <c r="A41" s="14" t="n">
        <v>5</v>
      </c>
      <c r="B41" s="12" t="s">
        <v>11</v>
      </c>
      <c r="C41" s="14" t="n">
        <v>1</v>
      </c>
      <c r="D41" s="15" t="n">
        <f aca="false">INDEX($B$27:$B$32,MATCH(B41,$A$27:$A$32,0))/C41</f>
        <v>41719</v>
      </c>
    </row>
    <row r="42" customFormat="false" ht="15" hidden="false" customHeight="false" outlineLevel="0" collapsed="false">
      <c r="A42" s="14" t="n">
        <v>6</v>
      </c>
      <c r="B42" s="12" t="s">
        <v>10</v>
      </c>
      <c r="C42" s="14" t="n">
        <v>1</v>
      </c>
      <c r="D42" s="15" t="n">
        <f aca="false">INDEX($B$27:$B$32,MATCH(B42,$A$27:$A$32,0))/C42</f>
        <v>40792</v>
      </c>
    </row>
    <row r="43" customFormat="false" ht="15" hidden="false" customHeight="false" outlineLevel="0" collapsed="false">
      <c r="A43" s="16" t="s">
        <v>17</v>
      </c>
      <c r="B43" s="12" t="s">
        <v>25</v>
      </c>
      <c r="C43" s="12" t="n">
        <v>1</v>
      </c>
      <c r="D43" s="11" t="n">
        <f aca="false">INDEX($B$27:$B$32,MATCH(B43,$A$27:$A$32,0))/C43</f>
        <v>40791</v>
      </c>
    </row>
    <row r="46" customFormat="false" ht="15" hidden="false" customHeight="false" outlineLevel="0" collapsed="false">
      <c r="A46" s="5" t="s">
        <v>19</v>
      </c>
    </row>
  </sheetData>
  <conditionalFormatting sqref="C7:H12">
    <cfRule type="expression" priority="2" aboveAverage="0" equalAverage="0" bottom="0" percent="0" rank="0" text="" dxfId="0">
      <formula>C$6&lt;=$I7</formula>
    </cfRule>
  </conditionalFormatting>
  <conditionalFormatting sqref="C27:H32">
    <cfRule type="expression" priority="3" aboveAverage="0" equalAverage="0" bottom="0" percent="0" rank="0" text="" dxfId="0">
      <formula>C$26&lt;=$I27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0" min="3" style="0" width="11"/>
    <col collapsed="false" customWidth="true" hidden="false" outlineLevel="0" max="11" min="11" style="0" width="20"/>
  </cols>
  <sheetData>
    <row r="1" customFormat="false" ht="16.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1</v>
      </c>
      <c r="B2" s="3" t="n">
        <v>7</v>
      </c>
    </row>
    <row r="3" customFormat="false" ht="15" hidden="false" customHeight="false" outlineLevel="0" collapsed="false">
      <c r="A3" s="2" t="s">
        <v>2</v>
      </c>
      <c r="B3" s="4" t="n">
        <v>32374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7" t="s">
        <v>7</v>
      </c>
    </row>
    <row r="7" customFormat="false" ht="15" hidden="false" customHeight="false" outlineLevel="0" collapsed="false">
      <c r="A7" s="9" t="s">
        <v>8</v>
      </c>
      <c r="B7" s="10" t="n">
        <v>227658</v>
      </c>
      <c r="C7" s="11" t="n">
        <f aca="false">$B7/C$6</f>
        <v>227658</v>
      </c>
      <c r="D7" s="11" t="n">
        <f aca="false">$B7/D$6</f>
        <v>113829</v>
      </c>
      <c r="E7" s="11" t="n">
        <f aca="false">$B7/E$6</f>
        <v>75886</v>
      </c>
      <c r="F7" s="11" t="n">
        <f aca="false">$B7/F$6</f>
        <v>56914.5</v>
      </c>
      <c r="G7" s="11" t="n">
        <f aca="false">$B7/G$6</f>
        <v>45531.6</v>
      </c>
      <c r="H7" s="11" t="n">
        <f aca="false">$B7/H$6</f>
        <v>37943</v>
      </c>
      <c r="I7" s="11" t="n">
        <f aca="false">$B7/I$6</f>
        <v>32522.5714285714</v>
      </c>
      <c r="J7" s="12" t="n">
        <v>3</v>
      </c>
    </row>
    <row r="8" customFormat="false" ht="15" hidden="false" customHeight="false" outlineLevel="0" collapsed="false">
      <c r="A8" s="9" t="s">
        <v>9</v>
      </c>
      <c r="B8" s="10" t="n">
        <v>179737</v>
      </c>
      <c r="C8" s="11" t="n">
        <f aca="false">$B8/C$6</f>
        <v>179737</v>
      </c>
      <c r="D8" s="11" t="n">
        <f aca="false">$B8/D$6</f>
        <v>89868.5</v>
      </c>
      <c r="E8" s="11" t="n">
        <f aca="false">$B8/E$6</f>
        <v>59912.3333333333</v>
      </c>
      <c r="F8" s="11" t="n">
        <f aca="false">$B8/F$6</f>
        <v>44934.25</v>
      </c>
      <c r="G8" s="11" t="n">
        <f aca="false">$B8/G$6</f>
        <v>35947.4</v>
      </c>
      <c r="H8" s="11" t="n">
        <f aca="false">$B8/H$6</f>
        <v>29956.1666666667</v>
      </c>
      <c r="I8" s="11" t="n">
        <f aca="false">$B8/I$6</f>
        <v>25676.7142857143</v>
      </c>
      <c r="J8" s="12" t="n">
        <v>3</v>
      </c>
    </row>
    <row r="9" customFormat="false" ht="15" hidden="false" customHeight="false" outlineLevel="0" collapsed="false">
      <c r="A9" s="9" t="s">
        <v>10</v>
      </c>
      <c r="B9" s="10" t="n">
        <v>27539</v>
      </c>
      <c r="C9" s="11" t="n">
        <f aca="false">$B9/C$6</f>
        <v>27539</v>
      </c>
      <c r="D9" s="11" t="n">
        <f aca="false">$B9/D$6</f>
        <v>13769.5</v>
      </c>
      <c r="E9" s="11" t="n">
        <f aca="false">$B9/E$6</f>
        <v>9179.66666666667</v>
      </c>
      <c r="F9" s="11" t="n">
        <f aca="false">$B9/F$6</f>
        <v>6884.75</v>
      </c>
      <c r="G9" s="11" t="n">
        <f aca="false">$B9/G$6</f>
        <v>5507.8</v>
      </c>
      <c r="H9" s="11" t="n">
        <f aca="false">$B9/H$6</f>
        <v>4589.83333333333</v>
      </c>
      <c r="I9" s="11" t="n">
        <f aca="false">$B9/I$6</f>
        <v>3934.14285714286</v>
      </c>
      <c r="J9" s="12" t="n">
        <v>0</v>
      </c>
    </row>
    <row r="10" customFormat="false" ht="15" hidden="false" customHeight="false" outlineLevel="0" collapsed="false">
      <c r="A10" s="9" t="s">
        <v>11</v>
      </c>
      <c r="B10" s="10" t="n">
        <v>75615</v>
      </c>
      <c r="C10" s="11" t="n">
        <f aca="false">$B10/C$6</f>
        <v>75615</v>
      </c>
      <c r="D10" s="11" t="n">
        <f aca="false">$B10/D$6</f>
        <v>37807.5</v>
      </c>
      <c r="E10" s="11" t="n">
        <f aca="false">$B10/E$6</f>
        <v>25205</v>
      </c>
      <c r="F10" s="11" t="n">
        <f aca="false">$B10/F$6</f>
        <v>18903.75</v>
      </c>
      <c r="G10" s="11" t="n">
        <f aca="false">$B10/G$6</f>
        <v>15123</v>
      </c>
      <c r="H10" s="11" t="n">
        <f aca="false">$B10/H$6</f>
        <v>12602.5</v>
      </c>
      <c r="I10" s="11" t="n">
        <f aca="false">$B10/I$6</f>
        <v>10802.1428571429</v>
      </c>
      <c r="J10" s="12" t="n">
        <v>1</v>
      </c>
    </row>
    <row r="11" customFormat="false" ht="15" hidden="false" customHeight="false" outlineLevel="0" collapsed="false">
      <c r="A11" s="2" t="s">
        <v>12</v>
      </c>
      <c r="B11" s="13" t="n">
        <f aca="false">SUM(B7:B10)</f>
        <v>510549</v>
      </c>
      <c r="J11" s="2" t="n">
        <f aca="false">SUM(J7:J10)</f>
        <v>7</v>
      </c>
      <c r="K11" s="2" t="str">
        <f aca="false">IF(J11=$B$2,"✔ suma = escaños","✘ revisar")</f>
        <v>✔ suma = escaños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7" t="s">
        <v>14</v>
      </c>
      <c r="B14" s="7" t="s">
        <v>5</v>
      </c>
      <c r="C14" s="7" t="s">
        <v>15</v>
      </c>
      <c r="D14" s="7" t="s">
        <v>16</v>
      </c>
    </row>
    <row r="15" customFormat="false" ht="15" hidden="false" customHeight="false" outlineLevel="0" collapsed="false">
      <c r="A15" s="14" t="n">
        <v>1</v>
      </c>
      <c r="B15" s="12" t="s">
        <v>8</v>
      </c>
      <c r="C15" s="14" t="n">
        <v>1</v>
      </c>
      <c r="D15" s="15" t="n">
        <f aca="false">INDEX($B$7:$B$10,MATCH(B15,$A$7:$A$10,0))/C15</f>
        <v>227658</v>
      </c>
    </row>
    <row r="16" customFormat="false" ht="15" hidden="false" customHeight="false" outlineLevel="0" collapsed="false">
      <c r="A16" s="14" t="n">
        <v>2</v>
      </c>
      <c r="B16" s="12" t="s">
        <v>9</v>
      </c>
      <c r="C16" s="14" t="n">
        <v>1</v>
      </c>
      <c r="D16" s="15" t="n">
        <f aca="false">INDEX($B$7:$B$10,MATCH(B16,$A$7:$A$10,0))/C16</f>
        <v>179737</v>
      </c>
    </row>
    <row r="17" customFormat="false" ht="15" hidden="false" customHeight="false" outlineLevel="0" collapsed="false">
      <c r="A17" s="14" t="n">
        <v>3</v>
      </c>
      <c r="B17" s="12" t="s">
        <v>8</v>
      </c>
      <c r="C17" s="14" t="n">
        <v>2</v>
      </c>
      <c r="D17" s="15" t="n">
        <f aca="false">INDEX($B$7:$B$10,MATCH(B17,$A$7:$A$10,0))/C17</f>
        <v>113829</v>
      </c>
    </row>
    <row r="18" customFormat="false" ht="15" hidden="false" customHeight="false" outlineLevel="0" collapsed="false">
      <c r="A18" s="14" t="n">
        <v>4</v>
      </c>
      <c r="B18" s="12" t="s">
        <v>9</v>
      </c>
      <c r="C18" s="14" t="n">
        <v>2</v>
      </c>
      <c r="D18" s="15" t="n">
        <f aca="false">INDEX($B$7:$B$10,MATCH(B18,$A$7:$A$10,0))/C18</f>
        <v>89868.5</v>
      </c>
    </row>
    <row r="19" customFormat="false" ht="15" hidden="false" customHeight="false" outlineLevel="0" collapsed="false">
      <c r="A19" s="14" t="n">
        <v>5</v>
      </c>
      <c r="B19" s="12" t="s">
        <v>8</v>
      </c>
      <c r="C19" s="14" t="n">
        <v>3</v>
      </c>
      <c r="D19" s="15" t="n">
        <f aca="false">INDEX($B$7:$B$10,MATCH(B19,$A$7:$A$10,0))/C19</f>
        <v>75886</v>
      </c>
    </row>
    <row r="20" customFormat="false" ht="15" hidden="false" customHeight="false" outlineLevel="0" collapsed="false">
      <c r="A20" s="14" t="n">
        <v>6</v>
      </c>
      <c r="B20" s="12" t="s">
        <v>11</v>
      </c>
      <c r="C20" s="14" t="n">
        <v>1</v>
      </c>
      <c r="D20" s="15" t="n">
        <f aca="false">INDEX($B$7:$B$10,MATCH(B20,$A$7:$A$10,0))/C20</f>
        <v>75615</v>
      </c>
    </row>
    <row r="21" customFormat="false" ht="15" hidden="false" customHeight="false" outlineLevel="0" collapsed="false">
      <c r="A21" s="14" t="n">
        <v>7</v>
      </c>
      <c r="B21" s="12" t="s">
        <v>9</v>
      </c>
      <c r="C21" s="14" t="n">
        <v>3</v>
      </c>
      <c r="D21" s="15" t="n">
        <f aca="false">INDEX($B$7:$B$10,MATCH(B21,$A$7:$A$10,0))/C21</f>
        <v>59912.3333333333</v>
      </c>
    </row>
    <row r="22" customFormat="false" ht="15" hidden="false" customHeight="false" outlineLevel="0" collapsed="false">
      <c r="A22" s="16" t="s">
        <v>17</v>
      </c>
      <c r="B22" s="12" t="s">
        <v>8</v>
      </c>
      <c r="C22" s="12" t="n">
        <v>4</v>
      </c>
      <c r="D22" s="11" t="n">
        <f aca="false">INDEX($B$7:$B$10,MATCH(B22,$A$7:$A$10,0))/C22</f>
        <v>56914.5</v>
      </c>
    </row>
    <row r="24" customFormat="false" ht="15" hidden="false" customHeight="false" outlineLevel="0" collapsed="false">
      <c r="A24" s="6" t="s">
        <v>18</v>
      </c>
    </row>
    <row r="25" customFormat="false" ht="15" hidden="false" customHeight="false" outlineLevel="0" collapsed="false">
      <c r="A25" s="17" t="s">
        <v>5</v>
      </c>
      <c r="B25" s="17" t="s">
        <v>6</v>
      </c>
      <c r="C25" s="18" t="n">
        <v>1</v>
      </c>
      <c r="D25" s="18" t="n">
        <v>2</v>
      </c>
      <c r="E25" s="18" t="n">
        <v>3</v>
      </c>
      <c r="F25" s="18" t="n">
        <v>4</v>
      </c>
      <c r="G25" s="18" t="n">
        <v>5</v>
      </c>
      <c r="H25" s="18" t="n">
        <v>6</v>
      </c>
      <c r="I25" s="18" t="n">
        <v>7</v>
      </c>
      <c r="J25" s="17" t="s">
        <v>7</v>
      </c>
    </row>
    <row r="26" customFormat="false" ht="15" hidden="false" customHeight="false" outlineLevel="0" collapsed="false">
      <c r="A26" s="9" t="s">
        <v>8</v>
      </c>
      <c r="B26" s="19" t="n">
        <f aca="false">B7-$B$3</f>
        <v>195284</v>
      </c>
      <c r="C26" s="11" t="n">
        <f aca="false">$B26/C$25</f>
        <v>195284</v>
      </c>
      <c r="D26" s="11" t="n">
        <f aca="false">$B26/D$25</f>
        <v>97642</v>
      </c>
      <c r="E26" s="11" t="n">
        <f aca="false">$B26/E$25</f>
        <v>65094.6666666667</v>
      </c>
      <c r="F26" s="11" t="n">
        <f aca="false">$B26/F$25</f>
        <v>48821</v>
      </c>
      <c r="G26" s="11" t="n">
        <f aca="false">$B26/G$25</f>
        <v>39056.8</v>
      </c>
      <c r="H26" s="11" t="n">
        <f aca="false">$B26/H$25</f>
        <v>32547.3333333333</v>
      </c>
      <c r="I26" s="11" t="n">
        <f aca="false">$B26/I$25</f>
        <v>27897.7142857143</v>
      </c>
      <c r="J26" s="12" t="n">
        <v>3</v>
      </c>
    </row>
    <row r="27" customFormat="false" ht="15" hidden="false" customHeight="false" outlineLevel="0" collapsed="false">
      <c r="A27" s="9" t="s">
        <v>9</v>
      </c>
      <c r="B27" s="10" t="n">
        <f aca="false">B8</f>
        <v>179737</v>
      </c>
      <c r="C27" s="11" t="n">
        <f aca="false">$B27/C$25</f>
        <v>179737</v>
      </c>
      <c r="D27" s="11" t="n">
        <f aca="false">$B27/D$25</f>
        <v>89868.5</v>
      </c>
      <c r="E27" s="11" t="n">
        <f aca="false">$B27/E$25</f>
        <v>59912.3333333333</v>
      </c>
      <c r="F27" s="11" t="n">
        <f aca="false">$B27/F$25</f>
        <v>44934.25</v>
      </c>
      <c r="G27" s="11" t="n">
        <f aca="false">$B27/G$25</f>
        <v>35947.4</v>
      </c>
      <c r="H27" s="11" t="n">
        <f aca="false">$B27/H$25</f>
        <v>29956.1666666667</v>
      </c>
      <c r="I27" s="11" t="n">
        <f aca="false">$B27/I$25</f>
        <v>25676.7142857143</v>
      </c>
      <c r="J27" s="12" t="n">
        <v>2</v>
      </c>
    </row>
    <row r="28" customFormat="false" ht="15" hidden="false" customHeight="false" outlineLevel="0" collapsed="false">
      <c r="A28" s="9" t="s">
        <v>10</v>
      </c>
      <c r="B28" s="19" t="n">
        <f aca="false">B9+$B$3</f>
        <v>59913</v>
      </c>
      <c r="C28" s="11" t="n">
        <f aca="false">$B28/C$25</f>
        <v>59913</v>
      </c>
      <c r="D28" s="11" t="n">
        <f aca="false">$B28/D$25</f>
        <v>29956.5</v>
      </c>
      <c r="E28" s="11" t="n">
        <f aca="false">$B28/E$25</f>
        <v>19971</v>
      </c>
      <c r="F28" s="11" t="n">
        <f aca="false">$B28/F$25</f>
        <v>14978.25</v>
      </c>
      <c r="G28" s="11" t="n">
        <f aca="false">$B28/G$25</f>
        <v>11982.6</v>
      </c>
      <c r="H28" s="11" t="n">
        <f aca="false">$B28/H$25</f>
        <v>9985.5</v>
      </c>
      <c r="I28" s="11" t="n">
        <f aca="false">$B28/I$25</f>
        <v>8559</v>
      </c>
      <c r="J28" s="12" t="n">
        <v>1</v>
      </c>
    </row>
    <row r="29" customFormat="false" ht="15" hidden="false" customHeight="false" outlineLevel="0" collapsed="false">
      <c r="A29" s="9" t="s">
        <v>11</v>
      </c>
      <c r="B29" s="10" t="n">
        <f aca="false">B10</f>
        <v>75615</v>
      </c>
      <c r="C29" s="11" t="n">
        <f aca="false">$B29/C$25</f>
        <v>75615</v>
      </c>
      <c r="D29" s="11" t="n">
        <f aca="false">$B29/D$25</f>
        <v>37807.5</v>
      </c>
      <c r="E29" s="11" t="n">
        <f aca="false">$B29/E$25</f>
        <v>25205</v>
      </c>
      <c r="F29" s="11" t="n">
        <f aca="false">$B29/F$25</f>
        <v>18903.75</v>
      </c>
      <c r="G29" s="11" t="n">
        <f aca="false">$B29/G$25</f>
        <v>15123</v>
      </c>
      <c r="H29" s="11" t="n">
        <f aca="false">$B29/H$25</f>
        <v>12602.5</v>
      </c>
      <c r="I29" s="11" t="n">
        <f aca="false">$B29/I$25</f>
        <v>10802.1428571429</v>
      </c>
      <c r="J29" s="12" t="n">
        <v>1</v>
      </c>
    </row>
    <row r="30" customFormat="false" ht="15" hidden="false" customHeight="false" outlineLevel="0" collapsed="false">
      <c r="A30" s="2" t="s">
        <v>12</v>
      </c>
      <c r="B30" s="13" t="n">
        <f aca="false">SUM(B26:B29)</f>
        <v>510549</v>
      </c>
      <c r="J30" s="2" t="n">
        <f aca="false">SUM(J26:J29)</f>
        <v>7</v>
      </c>
      <c r="K30" s="2" t="str">
        <f aca="false">IF(J30=$B$2,"✔ suma = escaños","✘ revisar")</f>
        <v>✔ suma = escaños</v>
      </c>
    </row>
    <row r="32" customFormat="false" ht="15" hidden="false" customHeight="false" outlineLevel="0" collapsed="false">
      <c r="A32" s="2" t="s">
        <v>13</v>
      </c>
    </row>
    <row r="33" customFormat="false" ht="15" hidden="false" customHeight="false" outlineLevel="0" collapsed="false">
      <c r="A33" s="17" t="s">
        <v>14</v>
      </c>
      <c r="B33" s="17" t="s">
        <v>5</v>
      </c>
      <c r="C33" s="17" t="s">
        <v>15</v>
      </c>
      <c r="D33" s="17" t="s">
        <v>16</v>
      </c>
    </row>
    <row r="34" customFormat="false" ht="15" hidden="false" customHeight="false" outlineLevel="0" collapsed="false">
      <c r="A34" s="14" t="n">
        <v>1</v>
      </c>
      <c r="B34" s="12" t="s">
        <v>8</v>
      </c>
      <c r="C34" s="14" t="n">
        <v>1</v>
      </c>
      <c r="D34" s="15" t="n">
        <f aca="false">INDEX($B$26:$B$29,MATCH(B34,$A$26:$A$29,0))/C34</f>
        <v>195284</v>
      </c>
    </row>
    <row r="35" customFormat="false" ht="15" hidden="false" customHeight="false" outlineLevel="0" collapsed="false">
      <c r="A35" s="14" t="n">
        <v>2</v>
      </c>
      <c r="B35" s="12" t="s">
        <v>9</v>
      </c>
      <c r="C35" s="14" t="n">
        <v>1</v>
      </c>
      <c r="D35" s="15" t="n">
        <f aca="false">INDEX($B$26:$B$29,MATCH(B35,$A$26:$A$29,0))/C35</f>
        <v>179737</v>
      </c>
    </row>
    <row r="36" customFormat="false" ht="15" hidden="false" customHeight="false" outlineLevel="0" collapsed="false">
      <c r="A36" s="14" t="n">
        <v>3</v>
      </c>
      <c r="B36" s="12" t="s">
        <v>8</v>
      </c>
      <c r="C36" s="14" t="n">
        <v>2</v>
      </c>
      <c r="D36" s="15" t="n">
        <f aca="false">INDEX($B$26:$B$29,MATCH(B36,$A$26:$A$29,0))/C36</f>
        <v>97642</v>
      </c>
    </row>
    <row r="37" customFormat="false" ht="15" hidden="false" customHeight="false" outlineLevel="0" collapsed="false">
      <c r="A37" s="14" t="n">
        <v>4</v>
      </c>
      <c r="B37" s="12" t="s">
        <v>9</v>
      </c>
      <c r="C37" s="14" t="n">
        <v>2</v>
      </c>
      <c r="D37" s="15" t="n">
        <f aca="false">INDEX($B$26:$B$29,MATCH(B37,$A$26:$A$29,0))/C37</f>
        <v>89868.5</v>
      </c>
    </row>
    <row r="38" customFormat="false" ht="15" hidden="false" customHeight="false" outlineLevel="0" collapsed="false">
      <c r="A38" s="14" t="n">
        <v>5</v>
      </c>
      <c r="B38" s="12" t="s">
        <v>11</v>
      </c>
      <c r="C38" s="14" t="n">
        <v>1</v>
      </c>
      <c r="D38" s="15" t="n">
        <f aca="false">INDEX($B$26:$B$29,MATCH(B38,$A$26:$A$29,0))/C38</f>
        <v>75615</v>
      </c>
    </row>
    <row r="39" customFormat="false" ht="15" hidden="false" customHeight="false" outlineLevel="0" collapsed="false">
      <c r="A39" s="14" t="n">
        <v>6</v>
      </c>
      <c r="B39" s="12" t="s">
        <v>8</v>
      </c>
      <c r="C39" s="14" t="n">
        <v>3</v>
      </c>
      <c r="D39" s="15" t="n">
        <f aca="false">INDEX($B$26:$B$29,MATCH(B39,$A$26:$A$29,0))/C39</f>
        <v>65094.6666666667</v>
      </c>
    </row>
    <row r="40" customFormat="false" ht="15" hidden="false" customHeight="false" outlineLevel="0" collapsed="false">
      <c r="A40" s="14" t="n">
        <v>7</v>
      </c>
      <c r="B40" s="12" t="s">
        <v>10</v>
      </c>
      <c r="C40" s="14" t="n">
        <v>1</v>
      </c>
      <c r="D40" s="15" t="n">
        <f aca="false">INDEX($B$26:$B$29,MATCH(B40,$A$26:$A$29,0))/C40</f>
        <v>59913</v>
      </c>
    </row>
    <row r="41" customFormat="false" ht="15" hidden="false" customHeight="false" outlineLevel="0" collapsed="false">
      <c r="A41" s="16" t="s">
        <v>17</v>
      </c>
      <c r="B41" s="12" t="s">
        <v>9</v>
      </c>
      <c r="C41" s="12" t="n">
        <v>3</v>
      </c>
      <c r="D41" s="11" t="n">
        <f aca="false">INDEX($B$26:$B$29,MATCH(B41,$A$26:$A$29,0))/C41</f>
        <v>59912.3333333333</v>
      </c>
    </row>
    <row r="44" customFormat="false" ht="15" hidden="false" customHeight="false" outlineLevel="0" collapsed="false">
      <c r="A44" s="5" t="s">
        <v>19</v>
      </c>
    </row>
  </sheetData>
  <conditionalFormatting sqref="C7:I10">
    <cfRule type="expression" priority="2" aboveAverage="0" equalAverage="0" bottom="0" percent="0" rank="0" text="" dxfId="0">
      <formula>C$6&lt;=$J7</formula>
    </cfRule>
  </conditionalFormatting>
  <conditionalFormatting sqref="C26:I29">
    <cfRule type="expression" priority="3" aboveAverage="0" equalAverage="0" bottom="0" percent="0" rank="0" text="" dxfId="0">
      <formula>C$25&lt;=$J26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13" min="3" style="0" width="11"/>
    <col collapsed="false" customWidth="true" hidden="false" outlineLevel="0" max="14" min="14" style="0" width="20"/>
  </cols>
  <sheetData>
    <row r="1" customFormat="false" ht="16.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1</v>
      </c>
      <c r="B2" s="3" t="n">
        <v>10</v>
      </c>
    </row>
    <row r="3" customFormat="false" ht="15" hidden="false" customHeight="false" outlineLevel="0" collapsed="false">
      <c r="A3" s="2" t="s">
        <v>2</v>
      </c>
      <c r="B3" s="4" t="n">
        <v>26087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8" t="n">
        <v>5</v>
      </c>
      <c r="H6" s="8" t="n">
        <v>6</v>
      </c>
      <c r="I6" s="8" t="n">
        <v>7</v>
      </c>
      <c r="J6" s="8" t="n">
        <v>8</v>
      </c>
      <c r="K6" s="8" t="n">
        <v>9</v>
      </c>
      <c r="L6" s="8" t="n">
        <v>10</v>
      </c>
      <c r="M6" s="7" t="s">
        <v>7</v>
      </c>
    </row>
    <row r="7" customFormat="false" ht="15" hidden="false" customHeight="false" outlineLevel="0" collapsed="false">
      <c r="A7" s="9" t="s">
        <v>8</v>
      </c>
      <c r="B7" s="10" t="n">
        <v>307972</v>
      </c>
      <c r="C7" s="11" t="n">
        <f aca="false">$B7/C$6</f>
        <v>307972</v>
      </c>
      <c r="D7" s="11" t="n">
        <f aca="false">$B7/D$6</f>
        <v>153986</v>
      </c>
      <c r="E7" s="11" t="n">
        <f aca="false">$B7/E$6</f>
        <v>102657.333333333</v>
      </c>
      <c r="F7" s="11" t="n">
        <f aca="false">$B7/F$6</f>
        <v>76993</v>
      </c>
      <c r="G7" s="11" t="n">
        <f aca="false">$B7/G$6</f>
        <v>61594.4</v>
      </c>
      <c r="H7" s="11" t="n">
        <f aca="false">$B7/H$6</f>
        <v>51328.6666666667</v>
      </c>
      <c r="I7" s="11" t="n">
        <f aca="false">$B7/I$6</f>
        <v>43996</v>
      </c>
      <c r="J7" s="11" t="n">
        <f aca="false">$B7/J$6</f>
        <v>38496.5</v>
      </c>
      <c r="K7" s="11" t="n">
        <f aca="false">$B7/K$6</f>
        <v>34219.1111111111</v>
      </c>
      <c r="L7" s="11" t="n">
        <f aca="false">$B7/L$6</f>
        <v>30797.2</v>
      </c>
      <c r="M7" s="12" t="n">
        <v>4</v>
      </c>
    </row>
    <row r="8" customFormat="false" ht="15" hidden="false" customHeight="false" outlineLevel="0" collapsed="false">
      <c r="A8" s="9" t="s">
        <v>9</v>
      </c>
      <c r="B8" s="10" t="n">
        <v>189210</v>
      </c>
      <c r="C8" s="11" t="n">
        <f aca="false">$B8/C$6</f>
        <v>189210</v>
      </c>
      <c r="D8" s="11" t="n">
        <f aca="false">$B8/D$6</f>
        <v>94605</v>
      </c>
      <c r="E8" s="11" t="n">
        <f aca="false">$B8/E$6</f>
        <v>63070</v>
      </c>
      <c r="F8" s="11" t="n">
        <f aca="false">$B8/F$6</f>
        <v>47302.5</v>
      </c>
      <c r="G8" s="11" t="n">
        <f aca="false">$B8/G$6</f>
        <v>37842</v>
      </c>
      <c r="H8" s="11" t="n">
        <f aca="false">$B8/H$6</f>
        <v>31535</v>
      </c>
      <c r="I8" s="11" t="n">
        <f aca="false">$B8/I$6</f>
        <v>27030</v>
      </c>
      <c r="J8" s="11" t="n">
        <f aca="false">$B8/J$6</f>
        <v>23651.25</v>
      </c>
      <c r="K8" s="11" t="n">
        <f aca="false">$B8/K$6</f>
        <v>21023.3333333333</v>
      </c>
      <c r="L8" s="11" t="n">
        <f aca="false">$B8/L$6</f>
        <v>18921</v>
      </c>
      <c r="M8" s="12" t="n">
        <v>3</v>
      </c>
    </row>
    <row r="9" customFormat="false" ht="15" hidden="false" customHeight="false" outlineLevel="0" collapsed="false">
      <c r="A9" s="9" t="s">
        <v>10</v>
      </c>
      <c r="B9" s="10" t="n">
        <v>163124</v>
      </c>
      <c r="C9" s="11" t="n">
        <f aca="false">$B9/C$6</f>
        <v>163124</v>
      </c>
      <c r="D9" s="11" t="n">
        <f aca="false">$B9/D$6</f>
        <v>81562</v>
      </c>
      <c r="E9" s="11" t="n">
        <f aca="false">$B9/E$6</f>
        <v>54374.6666666667</v>
      </c>
      <c r="F9" s="11" t="n">
        <f aca="false">$B9/F$6</f>
        <v>40781</v>
      </c>
      <c r="G9" s="11" t="n">
        <f aca="false">$B9/G$6</f>
        <v>32624.8</v>
      </c>
      <c r="H9" s="11" t="n">
        <f aca="false">$B9/H$6</f>
        <v>27187.3333333333</v>
      </c>
      <c r="I9" s="11" t="n">
        <f aca="false">$B9/I$6</f>
        <v>23303.4285714286</v>
      </c>
      <c r="J9" s="11" t="n">
        <f aca="false">$B9/J$6</f>
        <v>20390.5</v>
      </c>
      <c r="K9" s="11" t="n">
        <f aca="false">$B9/K$6</f>
        <v>18124.8888888889</v>
      </c>
      <c r="L9" s="11" t="n">
        <f aca="false">$B9/L$6</f>
        <v>16312.4</v>
      </c>
      <c r="M9" s="12" t="n">
        <v>2</v>
      </c>
    </row>
    <row r="10" customFormat="false" ht="15" hidden="false" customHeight="false" outlineLevel="0" collapsed="false">
      <c r="A10" s="9" t="s">
        <v>11</v>
      </c>
      <c r="B10" s="10" t="n">
        <v>71578</v>
      </c>
      <c r="C10" s="11" t="n">
        <f aca="false">$B10/C$6</f>
        <v>71578</v>
      </c>
      <c r="D10" s="11" t="n">
        <f aca="false">$B10/D$6</f>
        <v>35789</v>
      </c>
      <c r="E10" s="11" t="n">
        <f aca="false">$B10/E$6</f>
        <v>23859.3333333333</v>
      </c>
      <c r="F10" s="11" t="n">
        <f aca="false">$B10/F$6</f>
        <v>17894.5</v>
      </c>
      <c r="G10" s="11" t="n">
        <f aca="false">$B10/G$6</f>
        <v>14315.6</v>
      </c>
      <c r="H10" s="11" t="n">
        <f aca="false">$B10/H$6</f>
        <v>11929.6666666667</v>
      </c>
      <c r="I10" s="11" t="n">
        <f aca="false">$B10/I$6</f>
        <v>10225.4285714286</v>
      </c>
      <c r="J10" s="11" t="n">
        <f aca="false">$B10/J$6</f>
        <v>8947.25</v>
      </c>
      <c r="K10" s="11" t="n">
        <f aca="false">$B10/K$6</f>
        <v>7953.11111111111</v>
      </c>
      <c r="L10" s="11" t="n">
        <f aca="false">$B10/L$6</f>
        <v>7157.8</v>
      </c>
      <c r="M10" s="12" t="n">
        <v>1</v>
      </c>
    </row>
    <row r="11" customFormat="false" ht="15" hidden="false" customHeight="false" outlineLevel="0" collapsed="false">
      <c r="A11" s="2" t="s">
        <v>12</v>
      </c>
      <c r="B11" s="13" t="n">
        <f aca="false">SUM(B7:B10)</f>
        <v>731884</v>
      </c>
      <c r="M11" s="2" t="n">
        <f aca="false">SUM(M7:M10)</f>
        <v>10</v>
      </c>
      <c r="N11" s="2" t="str">
        <f aca="false">IF(M11=$B$2,"✔ suma = escaños","✘ revisar")</f>
        <v>✔ suma = escaños</v>
      </c>
    </row>
    <row r="13" customFormat="false" ht="15" hidden="false" customHeight="false" outlineLevel="0" collapsed="false">
      <c r="A13" s="2" t="s">
        <v>13</v>
      </c>
    </row>
    <row r="14" customFormat="false" ht="15" hidden="false" customHeight="false" outlineLevel="0" collapsed="false">
      <c r="A14" s="7" t="s">
        <v>14</v>
      </c>
      <c r="B14" s="7" t="s">
        <v>5</v>
      </c>
      <c r="C14" s="7" t="s">
        <v>15</v>
      </c>
      <c r="D14" s="7" t="s">
        <v>16</v>
      </c>
    </row>
    <row r="15" customFormat="false" ht="15" hidden="false" customHeight="false" outlineLevel="0" collapsed="false">
      <c r="A15" s="14" t="n">
        <v>1</v>
      </c>
      <c r="B15" s="12" t="s">
        <v>8</v>
      </c>
      <c r="C15" s="14" t="n">
        <v>1</v>
      </c>
      <c r="D15" s="15" t="n">
        <f aca="false">INDEX($B$7:$B$10,MATCH(B15,$A$7:$A$10,0))/C15</f>
        <v>307972</v>
      </c>
    </row>
    <row r="16" customFormat="false" ht="15" hidden="false" customHeight="false" outlineLevel="0" collapsed="false">
      <c r="A16" s="14" t="n">
        <v>2</v>
      </c>
      <c r="B16" s="12" t="s">
        <v>9</v>
      </c>
      <c r="C16" s="14" t="n">
        <v>1</v>
      </c>
      <c r="D16" s="15" t="n">
        <f aca="false">INDEX($B$7:$B$10,MATCH(B16,$A$7:$A$10,0))/C16</f>
        <v>189210</v>
      </c>
    </row>
    <row r="17" customFormat="false" ht="15" hidden="false" customHeight="false" outlineLevel="0" collapsed="false">
      <c r="A17" s="14" t="n">
        <v>3</v>
      </c>
      <c r="B17" s="12" t="s">
        <v>10</v>
      </c>
      <c r="C17" s="14" t="n">
        <v>1</v>
      </c>
      <c r="D17" s="15" t="n">
        <f aca="false">INDEX($B$7:$B$10,MATCH(B17,$A$7:$A$10,0))/C17</f>
        <v>163124</v>
      </c>
    </row>
    <row r="18" customFormat="false" ht="15" hidden="false" customHeight="false" outlineLevel="0" collapsed="false">
      <c r="A18" s="14" t="n">
        <v>4</v>
      </c>
      <c r="B18" s="12" t="s">
        <v>8</v>
      </c>
      <c r="C18" s="14" t="n">
        <v>2</v>
      </c>
      <c r="D18" s="15" t="n">
        <f aca="false">INDEX($B$7:$B$10,MATCH(B18,$A$7:$A$10,0))/C18</f>
        <v>153986</v>
      </c>
    </row>
    <row r="19" customFormat="false" ht="15" hidden="false" customHeight="false" outlineLevel="0" collapsed="false">
      <c r="A19" s="14" t="n">
        <v>5</v>
      </c>
      <c r="B19" s="12" t="s">
        <v>8</v>
      </c>
      <c r="C19" s="14" t="n">
        <v>3</v>
      </c>
      <c r="D19" s="15" t="n">
        <f aca="false">INDEX($B$7:$B$10,MATCH(B19,$A$7:$A$10,0))/C19</f>
        <v>102657.333333333</v>
      </c>
    </row>
    <row r="20" customFormat="false" ht="15" hidden="false" customHeight="false" outlineLevel="0" collapsed="false">
      <c r="A20" s="14" t="n">
        <v>6</v>
      </c>
      <c r="B20" s="12" t="s">
        <v>9</v>
      </c>
      <c r="C20" s="14" t="n">
        <v>2</v>
      </c>
      <c r="D20" s="15" t="n">
        <f aca="false">INDEX($B$7:$B$10,MATCH(B20,$A$7:$A$10,0))/C20</f>
        <v>94605</v>
      </c>
    </row>
    <row r="21" customFormat="false" ht="15" hidden="false" customHeight="false" outlineLevel="0" collapsed="false">
      <c r="A21" s="14" t="n">
        <v>7</v>
      </c>
      <c r="B21" s="12" t="s">
        <v>10</v>
      </c>
      <c r="C21" s="14" t="n">
        <v>2</v>
      </c>
      <c r="D21" s="15" t="n">
        <f aca="false">INDEX($B$7:$B$10,MATCH(B21,$A$7:$A$10,0))/C21</f>
        <v>81562</v>
      </c>
    </row>
    <row r="22" customFormat="false" ht="15" hidden="false" customHeight="false" outlineLevel="0" collapsed="false">
      <c r="A22" s="14" t="n">
        <v>8</v>
      </c>
      <c r="B22" s="12" t="s">
        <v>8</v>
      </c>
      <c r="C22" s="14" t="n">
        <v>4</v>
      </c>
      <c r="D22" s="15" t="n">
        <f aca="false">INDEX($B$7:$B$10,MATCH(B22,$A$7:$A$10,0))/C22</f>
        <v>76993</v>
      </c>
    </row>
    <row r="23" customFormat="false" ht="15" hidden="false" customHeight="false" outlineLevel="0" collapsed="false">
      <c r="A23" s="14" t="n">
        <v>9</v>
      </c>
      <c r="B23" s="12" t="s">
        <v>11</v>
      </c>
      <c r="C23" s="14" t="n">
        <v>1</v>
      </c>
      <c r="D23" s="15" t="n">
        <f aca="false">INDEX($B$7:$B$10,MATCH(B23,$A$7:$A$10,0))/C23</f>
        <v>71578</v>
      </c>
    </row>
    <row r="24" customFormat="false" ht="15" hidden="false" customHeight="false" outlineLevel="0" collapsed="false">
      <c r="A24" s="14" t="n">
        <v>10</v>
      </c>
      <c r="B24" s="12" t="s">
        <v>9</v>
      </c>
      <c r="C24" s="14" t="n">
        <v>3</v>
      </c>
      <c r="D24" s="15" t="n">
        <f aca="false">INDEX($B$7:$B$10,MATCH(B24,$A$7:$A$10,0))/C24</f>
        <v>63070</v>
      </c>
    </row>
    <row r="25" customFormat="false" ht="15" hidden="false" customHeight="false" outlineLevel="0" collapsed="false">
      <c r="A25" s="16" t="s">
        <v>17</v>
      </c>
      <c r="B25" s="12" t="s">
        <v>8</v>
      </c>
      <c r="C25" s="12" t="n">
        <v>5</v>
      </c>
      <c r="D25" s="11" t="n">
        <f aca="false">INDEX($B$7:$B$10,MATCH(B25,$A$7:$A$10,0))/C25</f>
        <v>61594.4</v>
      </c>
    </row>
    <row r="27" customFormat="false" ht="15" hidden="false" customHeight="false" outlineLevel="0" collapsed="false">
      <c r="A27" s="6" t="s">
        <v>18</v>
      </c>
    </row>
    <row r="28" customFormat="false" ht="15" hidden="false" customHeight="false" outlineLevel="0" collapsed="false">
      <c r="A28" s="17" t="s">
        <v>5</v>
      </c>
      <c r="B28" s="17" t="s">
        <v>6</v>
      </c>
      <c r="C28" s="18" t="n">
        <v>1</v>
      </c>
      <c r="D28" s="18" t="n">
        <v>2</v>
      </c>
      <c r="E28" s="18" t="n">
        <v>3</v>
      </c>
      <c r="F28" s="18" t="n">
        <v>4</v>
      </c>
      <c r="G28" s="18" t="n">
        <v>5</v>
      </c>
      <c r="H28" s="18" t="n">
        <v>6</v>
      </c>
      <c r="I28" s="18" t="n">
        <v>7</v>
      </c>
      <c r="J28" s="18" t="n">
        <v>8</v>
      </c>
      <c r="K28" s="18" t="n">
        <v>9</v>
      </c>
      <c r="L28" s="18" t="n">
        <v>10</v>
      </c>
      <c r="M28" s="17" t="s">
        <v>7</v>
      </c>
    </row>
    <row r="29" customFormat="false" ht="15" hidden="false" customHeight="false" outlineLevel="0" collapsed="false">
      <c r="A29" s="9" t="s">
        <v>8</v>
      </c>
      <c r="B29" s="19" t="n">
        <f aca="false">B7-$B$3</f>
        <v>281885</v>
      </c>
      <c r="C29" s="11" t="n">
        <f aca="false">$B29/C$28</f>
        <v>281885</v>
      </c>
      <c r="D29" s="11" t="n">
        <f aca="false">$B29/D$28</f>
        <v>140942.5</v>
      </c>
      <c r="E29" s="11" t="n">
        <f aca="false">$B29/E$28</f>
        <v>93961.6666666667</v>
      </c>
      <c r="F29" s="11" t="n">
        <f aca="false">$B29/F$28</f>
        <v>70471.25</v>
      </c>
      <c r="G29" s="11" t="n">
        <f aca="false">$B29/G$28</f>
        <v>56377</v>
      </c>
      <c r="H29" s="11" t="n">
        <f aca="false">$B29/H$28</f>
        <v>46980.8333333333</v>
      </c>
      <c r="I29" s="11" t="n">
        <f aca="false">$B29/I$28</f>
        <v>40269.2857142857</v>
      </c>
      <c r="J29" s="11" t="n">
        <f aca="false">$B29/J$28</f>
        <v>35235.625</v>
      </c>
      <c r="K29" s="11" t="n">
        <f aca="false">$B29/K$28</f>
        <v>31320.5555555556</v>
      </c>
      <c r="L29" s="11" t="n">
        <f aca="false">$B29/L$28</f>
        <v>28188.5</v>
      </c>
      <c r="M29" s="12" t="n">
        <v>4</v>
      </c>
    </row>
    <row r="30" customFormat="false" ht="15" hidden="false" customHeight="false" outlineLevel="0" collapsed="false">
      <c r="A30" s="9" t="s">
        <v>9</v>
      </c>
      <c r="B30" s="10" t="n">
        <f aca="false">B8</f>
        <v>189210</v>
      </c>
      <c r="C30" s="11" t="n">
        <f aca="false">$B30/C$28</f>
        <v>189210</v>
      </c>
      <c r="D30" s="11" t="n">
        <f aca="false">$B30/D$28</f>
        <v>94605</v>
      </c>
      <c r="E30" s="11" t="n">
        <f aca="false">$B30/E$28</f>
        <v>63070</v>
      </c>
      <c r="F30" s="11" t="n">
        <f aca="false">$B30/F$28</f>
        <v>47302.5</v>
      </c>
      <c r="G30" s="11" t="n">
        <f aca="false">$B30/G$28</f>
        <v>37842</v>
      </c>
      <c r="H30" s="11" t="n">
        <f aca="false">$B30/H$28</f>
        <v>31535</v>
      </c>
      <c r="I30" s="11" t="n">
        <f aca="false">$B30/I$28</f>
        <v>27030</v>
      </c>
      <c r="J30" s="11" t="n">
        <f aca="false">$B30/J$28</f>
        <v>23651.25</v>
      </c>
      <c r="K30" s="11" t="n">
        <f aca="false">$B30/K$28</f>
        <v>21023.3333333333</v>
      </c>
      <c r="L30" s="11" t="n">
        <f aca="false">$B30/L$28</f>
        <v>18921</v>
      </c>
      <c r="M30" s="12" t="n">
        <v>2</v>
      </c>
    </row>
    <row r="31" customFormat="false" ht="15" hidden="false" customHeight="false" outlineLevel="0" collapsed="false">
      <c r="A31" s="9" t="s">
        <v>10</v>
      </c>
      <c r="B31" s="19" t="n">
        <f aca="false">B9+$B$3</f>
        <v>189211</v>
      </c>
      <c r="C31" s="11" t="n">
        <f aca="false">$B31/C$28</f>
        <v>189211</v>
      </c>
      <c r="D31" s="11" t="n">
        <f aca="false">$B31/D$28</f>
        <v>94605.5</v>
      </c>
      <c r="E31" s="11" t="n">
        <f aca="false">$B31/E$28</f>
        <v>63070.3333333333</v>
      </c>
      <c r="F31" s="11" t="n">
        <f aca="false">$B31/F$28</f>
        <v>47302.75</v>
      </c>
      <c r="G31" s="11" t="n">
        <f aca="false">$B31/G$28</f>
        <v>37842.2</v>
      </c>
      <c r="H31" s="11" t="n">
        <f aca="false">$B31/H$28</f>
        <v>31535.1666666667</v>
      </c>
      <c r="I31" s="11" t="n">
        <f aca="false">$B31/I$28</f>
        <v>27030.1428571429</v>
      </c>
      <c r="J31" s="11" t="n">
        <f aca="false">$B31/J$28</f>
        <v>23651.375</v>
      </c>
      <c r="K31" s="11" t="n">
        <f aca="false">$B31/K$28</f>
        <v>21023.4444444444</v>
      </c>
      <c r="L31" s="11" t="n">
        <f aca="false">$B31/L$28</f>
        <v>18921.1</v>
      </c>
      <c r="M31" s="12" t="n">
        <v>3</v>
      </c>
    </row>
    <row r="32" customFormat="false" ht="15" hidden="false" customHeight="false" outlineLevel="0" collapsed="false">
      <c r="A32" s="9" t="s">
        <v>11</v>
      </c>
      <c r="B32" s="10" t="n">
        <f aca="false">B10</f>
        <v>71578</v>
      </c>
      <c r="C32" s="11" t="n">
        <f aca="false">$B32/C$28</f>
        <v>71578</v>
      </c>
      <c r="D32" s="11" t="n">
        <f aca="false">$B32/D$28</f>
        <v>35789</v>
      </c>
      <c r="E32" s="11" t="n">
        <f aca="false">$B32/E$28</f>
        <v>23859.3333333333</v>
      </c>
      <c r="F32" s="11" t="n">
        <f aca="false">$B32/F$28</f>
        <v>17894.5</v>
      </c>
      <c r="G32" s="11" t="n">
        <f aca="false">$B32/G$28</f>
        <v>14315.6</v>
      </c>
      <c r="H32" s="11" t="n">
        <f aca="false">$B32/H$28</f>
        <v>11929.6666666667</v>
      </c>
      <c r="I32" s="11" t="n">
        <f aca="false">$B32/I$28</f>
        <v>10225.4285714286</v>
      </c>
      <c r="J32" s="11" t="n">
        <f aca="false">$B32/J$28</f>
        <v>8947.25</v>
      </c>
      <c r="K32" s="11" t="n">
        <f aca="false">$B32/K$28</f>
        <v>7953.11111111111</v>
      </c>
      <c r="L32" s="11" t="n">
        <f aca="false">$B32/L$28</f>
        <v>7157.8</v>
      </c>
      <c r="M32" s="12" t="n">
        <v>1</v>
      </c>
    </row>
    <row r="33" customFormat="false" ht="15" hidden="false" customHeight="false" outlineLevel="0" collapsed="false">
      <c r="A33" s="2" t="s">
        <v>12</v>
      </c>
      <c r="B33" s="13" t="n">
        <f aca="false">SUM(B29:B32)</f>
        <v>731884</v>
      </c>
      <c r="M33" s="2" t="n">
        <f aca="false">SUM(M29:M32)</f>
        <v>10</v>
      </c>
      <c r="N33" s="2" t="str">
        <f aca="false">IF(M33=$B$2,"✔ suma = escaños","✘ revisar")</f>
        <v>✔ suma = escaños</v>
      </c>
    </row>
    <row r="35" customFormat="false" ht="15" hidden="false" customHeight="false" outlineLevel="0" collapsed="false">
      <c r="A35" s="2" t="s">
        <v>13</v>
      </c>
    </row>
    <row r="36" customFormat="false" ht="15" hidden="false" customHeight="false" outlineLevel="0" collapsed="false">
      <c r="A36" s="17" t="s">
        <v>14</v>
      </c>
      <c r="B36" s="17" t="s">
        <v>5</v>
      </c>
      <c r="C36" s="17" t="s">
        <v>15</v>
      </c>
      <c r="D36" s="17" t="s">
        <v>16</v>
      </c>
    </row>
    <row r="37" customFormat="false" ht="15" hidden="false" customHeight="false" outlineLevel="0" collapsed="false">
      <c r="A37" s="14" t="n">
        <v>1</v>
      </c>
      <c r="B37" s="12" t="s">
        <v>8</v>
      </c>
      <c r="C37" s="14" t="n">
        <v>1</v>
      </c>
      <c r="D37" s="15" t="n">
        <f aca="false">INDEX($B$29:$B$32,MATCH(B37,$A$29:$A$32,0))/C37</f>
        <v>281885</v>
      </c>
    </row>
    <row r="38" customFormat="false" ht="15" hidden="false" customHeight="false" outlineLevel="0" collapsed="false">
      <c r="A38" s="14" t="n">
        <v>2</v>
      </c>
      <c r="B38" s="12" t="s">
        <v>10</v>
      </c>
      <c r="C38" s="14" t="n">
        <v>1</v>
      </c>
      <c r="D38" s="15" t="n">
        <f aca="false">INDEX($B$29:$B$32,MATCH(B38,$A$29:$A$32,0))/C38</f>
        <v>189211</v>
      </c>
    </row>
    <row r="39" customFormat="false" ht="15" hidden="false" customHeight="false" outlineLevel="0" collapsed="false">
      <c r="A39" s="14" t="n">
        <v>3</v>
      </c>
      <c r="B39" s="12" t="s">
        <v>9</v>
      </c>
      <c r="C39" s="14" t="n">
        <v>1</v>
      </c>
      <c r="D39" s="15" t="n">
        <f aca="false">INDEX($B$29:$B$32,MATCH(B39,$A$29:$A$32,0))/C39</f>
        <v>189210</v>
      </c>
    </row>
    <row r="40" customFormat="false" ht="15" hidden="false" customHeight="false" outlineLevel="0" collapsed="false">
      <c r="A40" s="14" t="n">
        <v>4</v>
      </c>
      <c r="B40" s="12" t="s">
        <v>8</v>
      </c>
      <c r="C40" s="14" t="n">
        <v>2</v>
      </c>
      <c r="D40" s="15" t="n">
        <f aca="false">INDEX($B$29:$B$32,MATCH(B40,$A$29:$A$32,0))/C40</f>
        <v>140942.5</v>
      </c>
    </row>
    <row r="41" customFormat="false" ht="15" hidden="false" customHeight="false" outlineLevel="0" collapsed="false">
      <c r="A41" s="14" t="n">
        <v>5</v>
      </c>
      <c r="B41" s="12" t="s">
        <v>10</v>
      </c>
      <c r="C41" s="14" t="n">
        <v>2</v>
      </c>
      <c r="D41" s="15" t="n">
        <f aca="false">INDEX($B$29:$B$32,MATCH(B41,$A$29:$A$32,0))/C41</f>
        <v>94605.5</v>
      </c>
    </row>
    <row r="42" customFormat="false" ht="15" hidden="false" customHeight="false" outlineLevel="0" collapsed="false">
      <c r="A42" s="14" t="n">
        <v>6</v>
      </c>
      <c r="B42" s="12" t="s">
        <v>9</v>
      </c>
      <c r="C42" s="14" t="n">
        <v>2</v>
      </c>
      <c r="D42" s="15" t="n">
        <f aca="false">INDEX($B$29:$B$32,MATCH(B42,$A$29:$A$32,0))/C42</f>
        <v>94605</v>
      </c>
    </row>
    <row r="43" customFormat="false" ht="15" hidden="false" customHeight="false" outlineLevel="0" collapsed="false">
      <c r="A43" s="14" t="n">
        <v>7</v>
      </c>
      <c r="B43" s="12" t="s">
        <v>8</v>
      </c>
      <c r="C43" s="14" t="n">
        <v>3</v>
      </c>
      <c r="D43" s="15" t="n">
        <f aca="false">INDEX($B$29:$B$32,MATCH(B43,$A$29:$A$32,0))/C43</f>
        <v>93961.6666666667</v>
      </c>
    </row>
    <row r="44" customFormat="false" ht="15" hidden="false" customHeight="false" outlineLevel="0" collapsed="false">
      <c r="A44" s="14" t="n">
        <v>8</v>
      </c>
      <c r="B44" s="12" t="s">
        <v>11</v>
      </c>
      <c r="C44" s="14" t="n">
        <v>1</v>
      </c>
      <c r="D44" s="15" t="n">
        <f aca="false">INDEX($B$29:$B$32,MATCH(B44,$A$29:$A$32,0))/C44</f>
        <v>71578</v>
      </c>
    </row>
    <row r="45" customFormat="false" ht="15" hidden="false" customHeight="false" outlineLevel="0" collapsed="false">
      <c r="A45" s="14" t="n">
        <v>9</v>
      </c>
      <c r="B45" s="12" t="s">
        <v>8</v>
      </c>
      <c r="C45" s="14" t="n">
        <v>4</v>
      </c>
      <c r="D45" s="15" t="n">
        <f aca="false">INDEX($B$29:$B$32,MATCH(B45,$A$29:$A$32,0))/C45</f>
        <v>70471.25</v>
      </c>
    </row>
    <row r="46" customFormat="false" ht="15" hidden="false" customHeight="false" outlineLevel="0" collapsed="false">
      <c r="A46" s="14" t="n">
        <v>10</v>
      </c>
      <c r="B46" s="12" t="s">
        <v>10</v>
      </c>
      <c r="C46" s="14" t="n">
        <v>3</v>
      </c>
      <c r="D46" s="15" t="n">
        <f aca="false">INDEX($B$29:$B$32,MATCH(B46,$A$29:$A$32,0))/C46</f>
        <v>63070.3333333333</v>
      </c>
    </row>
    <row r="47" customFormat="false" ht="15" hidden="false" customHeight="false" outlineLevel="0" collapsed="false">
      <c r="A47" s="16" t="s">
        <v>17</v>
      </c>
      <c r="B47" s="12" t="s">
        <v>9</v>
      </c>
      <c r="C47" s="12" t="n">
        <v>3</v>
      </c>
      <c r="D47" s="11" t="n">
        <f aca="false">INDEX($B$29:$B$32,MATCH(B47,$A$29:$A$32,0))/C47</f>
        <v>63070</v>
      </c>
    </row>
    <row r="50" customFormat="false" ht="15" hidden="false" customHeight="false" outlineLevel="0" collapsed="false">
      <c r="A50" s="5" t="s">
        <v>19</v>
      </c>
    </row>
  </sheetData>
  <conditionalFormatting sqref="C7:L10">
    <cfRule type="expression" priority="2" aboveAverage="0" equalAverage="0" bottom="0" percent="0" rank="0" text="" dxfId="0">
      <formula>C$6&lt;=$M7</formula>
    </cfRule>
  </conditionalFormatting>
  <conditionalFormatting sqref="C29:L32">
    <cfRule type="expression" priority="3" aboveAverage="0" equalAverage="0" bottom="0" percent="0" rank="0" text="" dxfId="0">
      <formula>C$28&lt;=$M29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1</v>
      </c>
      <c r="B2" s="3" t="n">
        <v>4</v>
      </c>
    </row>
    <row r="3" customFormat="false" ht="15" hidden="false" customHeight="false" outlineLevel="0" collapsed="false">
      <c r="A3" s="2" t="s">
        <v>2</v>
      </c>
      <c r="B3" s="4" t="n">
        <v>14106</v>
      </c>
      <c r="C3" s="5" t="s">
        <v>3</v>
      </c>
    </row>
    <row r="5" customFormat="false" ht="15" hidden="false" customHeight="false" outlineLevel="0" collapsed="false">
      <c r="A5" s="6" t="s">
        <v>4</v>
      </c>
    </row>
    <row r="6" customFormat="false" ht="15" hidden="false" customHeight="false" outlineLevel="0" collapsed="false">
      <c r="A6" s="7" t="s">
        <v>5</v>
      </c>
      <c r="B6" s="7" t="s">
        <v>6</v>
      </c>
      <c r="C6" s="8" t="n">
        <v>1</v>
      </c>
      <c r="D6" s="8" t="n">
        <v>2</v>
      </c>
      <c r="E6" s="8" t="n">
        <v>3</v>
      </c>
      <c r="F6" s="8" t="n">
        <v>4</v>
      </c>
      <c r="G6" s="7" t="s">
        <v>7</v>
      </c>
    </row>
    <row r="7" customFormat="false" ht="15" hidden="false" customHeight="false" outlineLevel="0" collapsed="false">
      <c r="A7" s="9" t="s">
        <v>8</v>
      </c>
      <c r="B7" s="10" t="n">
        <v>79715</v>
      </c>
      <c r="C7" s="11" t="n">
        <f aca="false">$B7/C$6</f>
        <v>79715</v>
      </c>
      <c r="D7" s="11" t="n">
        <f aca="false">$B7/D$6</f>
        <v>39857.5</v>
      </c>
      <c r="E7" s="11" t="n">
        <f aca="false">$B7/E$6</f>
        <v>26571.6666666667</v>
      </c>
      <c r="F7" s="11" t="n">
        <f aca="false">$B7/F$6</f>
        <v>19928.75</v>
      </c>
      <c r="G7" s="12" t="n">
        <v>2</v>
      </c>
    </row>
    <row r="8" customFormat="false" ht="15" hidden="false" customHeight="false" outlineLevel="0" collapsed="false">
      <c r="A8" s="9" t="s">
        <v>9</v>
      </c>
      <c r="B8" s="10" t="n">
        <v>62322</v>
      </c>
      <c r="C8" s="11" t="n">
        <f aca="false">$B8/C$6</f>
        <v>62322</v>
      </c>
      <c r="D8" s="11" t="n">
        <f aca="false">$B8/D$6</f>
        <v>31161</v>
      </c>
      <c r="E8" s="11" t="n">
        <f aca="false">$B8/E$6</f>
        <v>20774</v>
      </c>
      <c r="F8" s="11" t="n">
        <f aca="false">$B8/F$6</f>
        <v>15580.5</v>
      </c>
      <c r="G8" s="12" t="n">
        <v>2</v>
      </c>
    </row>
    <row r="9" customFormat="false" ht="15" hidden="false" customHeight="false" outlineLevel="0" collapsed="false">
      <c r="A9" s="9" t="s">
        <v>10</v>
      </c>
      <c r="B9" s="10" t="n">
        <v>17056</v>
      </c>
      <c r="C9" s="11" t="n">
        <f aca="false">$B9/C$6</f>
        <v>17056</v>
      </c>
      <c r="D9" s="11" t="n">
        <f aca="false">$B9/D$6</f>
        <v>8528</v>
      </c>
      <c r="E9" s="11" t="n">
        <f aca="false">$B9/E$6</f>
        <v>5685.33333333333</v>
      </c>
      <c r="F9" s="11" t="n">
        <f aca="false">$B9/F$6</f>
        <v>4264</v>
      </c>
      <c r="G9" s="12" t="n">
        <v>0</v>
      </c>
    </row>
    <row r="10" customFormat="false" ht="15" hidden="false" customHeight="false" outlineLevel="0" collapsed="false">
      <c r="A10" s="2" t="s">
        <v>12</v>
      </c>
      <c r="B10" s="13" t="n">
        <f aca="false">SUM(B7:B9)</f>
        <v>159093</v>
      </c>
      <c r="G10" s="2" t="n">
        <f aca="false">SUM(G7:G9)</f>
        <v>4</v>
      </c>
      <c r="H10" s="2" t="str">
        <f aca="false">IF(G10=$B$2,"✔ suma = escaños","✘ revisar")</f>
        <v>✔ suma = escaños</v>
      </c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7" t="s">
        <v>14</v>
      </c>
      <c r="B13" s="7" t="s">
        <v>5</v>
      </c>
      <c r="C13" s="7" t="s">
        <v>15</v>
      </c>
      <c r="D13" s="7" t="s">
        <v>16</v>
      </c>
    </row>
    <row r="14" customFormat="false" ht="15" hidden="false" customHeight="false" outlineLevel="0" collapsed="false">
      <c r="A14" s="14" t="n">
        <v>1</v>
      </c>
      <c r="B14" s="12" t="s">
        <v>8</v>
      </c>
      <c r="C14" s="14" t="n">
        <v>1</v>
      </c>
      <c r="D14" s="15" t="n">
        <f aca="false">INDEX($B$7:$B$9,MATCH(B14,$A$7:$A$9,0))/C14</f>
        <v>79715</v>
      </c>
    </row>
    <row r="15" customFormat="false" ht="15" hidden="false" customHeight="false" outlineLevel="0" collapsed="false">
      <c r="A15" s="14" t="n">
        <v>2</v>
      </c>
      <c r="B15" s="12" t="s">
        <v>9</v>
      </c>
      <c r="C15" s="14" t="n">
        <v>1</v>
      </c>
      <c r="D15" s="15" t="n">
        <f aca="false">INDEX($B$7:$B$9,MATCH(B15,$A$7:$A$9,0))/C15</f>
        <v>62322</v>
      </c>
    </row>
    <row r="16" customFormat="false" ht="15" hidden="false" customHeight="false" outlineLevel="0" collapsed="false">
      <c r="A16" s="14" t="n">
        <v>3</v>
      </c>
      <c r="B16" s="12" t="s">
        <v>8</v>
      </c>
      <c r="C16" s="14" t="n">
        <v>2</v>
      </c>
      <c r="D16" s="15" t="n">
        <f aca="false">INDEX($B$7:$B$9,MATCH(B16,$A$7:$A$9,0))/C16</f>
        <v>39857.5</v>
      </c>
    </row>
    <row r="17" customFormat="false" ht="15" hidden="false" customHeight="false" outlineLevel="0" collapsed="false">
      <c r="A17" s="14" t="n">
        <v>4</v>
      </c>
      <c r="B17" s="12" t="s">
        <v>9</v>
      </c>
      <c r="C17" s="14" t="n">
        <v>2</v>
      </c>
      <c r="D17" s="15" t="n">
        <f aca="false">INDEX($B$7:$B$9,MATCH(B17,$A$7:$A$9,0))/C17</f>
        <v>31161</v>
      </c>
    </row>
    <row r="18" customFormat="false" ht="15" hidden="false" customHeight="false" outlineLevel="0" collapsed="false">
      <c r="A18" s="16" t="s">
        <v>17</v>
      </c>
      <c r="B18" s="12" t="s">
        <v>8</v>
      </c>
      <c r="C18" s="12" t="n">
        <v>3</v>
      </c>
      <c r="D18" s="11" t="n">
        <f aca="false">INDEX($B$7:$B$9,MATCH(B18,$A$7:$A$9,0))/C18</f>
        <v>26571.6666666667</v>
      </c>
    </row>
    <row r="20" customFormat="false" ht="15" hidden="false" customHeight="false" outlineLevel="0" collapsed="false">
      <c r="A20" s="6" t="s">
        <v>18</v>
      </c>
    </row>
    <row r="21" customFormat="false" ht="15" hidden="false" customHeight="false" outlineLevel="0" collapsed="false">
      <c r="A21" s="17" t="s">
        <v>5</v>
      </c>
      <c r="B21" s="17" t="s">
        <v>6</v>
      </c>
      <c r="C21" s="18" t="n">
        <v>1</v>
      </c>
      <c r="D21" s="18" t="n">
        <v>2</v>
      </c>
      <c r="E21" s="18" t="n">
        <v>3</v>
      </c>
      <c r="F21" s="18" t="n">
        <v>4</v>
      </c>
      <c r="G21" s="17" t="s">
        <v>7</v>
      </c>
    </row>
    <row r="22" customFormat="false" ht="15" hidden="false" customHeight="false" outlineLevel="0" collapsed="false">
      <c r="A22" s="9" t="s">
        <v>8</v>
      </c>
      <c r="B22" s="19" t="n">
        <f aca="false">B7-$B$3</f>
        <v>65609</v>
      </c>
      <c r="C22" s="11" t="n">
        <f aca="false">$B22/C$21</f>
        <v>65609</v>
      </c>
      <c r="D22" s="11" t="n">
        <f aca="false">$B22/D$21</f>
        <v>32804.5</v>
      </c>
      <c r="E22" s="11" t="n">
        <f aca="false">$B22/E$21</f>
        <v>21869.6666666667</v>
      </c>
      <c r="F22" s="11" t="n">
        <f aca="false">$B22/F$21</f>
        <v>16402.25</v>
      </c>
      <c r="G22" s="12" t="n">
        <v>2</v>
      </c>
    </row>
    <row r="23" customFormat="false" ht="15" hidden="false" customHeight="false" outlineLevel="0" collapsed="false">
      <c r="A23" s="9" t="s">
        <v>9</v>
      </c>
      <c r="B23" s="10" t="n">
        <f aca="false">B8</f>
        <v>62322</v>
      </c>
      <c r="C23" s="11" t="n">
        <f aca="false">$B23/C$21</f>
        <v>62322</v>
      </c>
      <c r="D23" s="11" t="n">
        <f aca="false">$B23/D$21</f>
        <v>31161</v>
      </c>
      <c r="E23" s="11" t="n">
        <f aca="false">$B23/E$21</f>
        <v>20774</v>
      </c>
      <c r="F23" s="11" t="n">
        <f aca="false">$B23/F$21</f>
        <v>15580.5</v>
      </c>
      <c r="G23" s="12" t="n">
        <v>1</v>
      </c>
    </row>
    <row r="24" customFormat="false" ht="15" hidden="false" customHeight="false" outlineLevel="0" collapsed="false">
      <c r="A24" s="9" t="s">
        <v>10</v>
      </c>
      <c r="B24" s="19" t="n">
        <f aca="false">B9+$B$3</f>
        <v>31162</v>
      </c>
      <c r="C24" s="11" t="n">
        <f aca="false">$B24/C$21</f>
        <v>31162</v>
      </c>
      <c r="D24" s="11" t="n">
        <f aca="false">$B24/D$21</f>
        <v>15581</v>
      </c>
      <c r="E24" s="11" t="n">
        <f aca="false">$B24/E$21</f>
        <v>10387.3333333333</v>
      </c>
      <c r="F24" s="11" t="n">
        <f aca="false">$B24/F$21</f>
        <v>7790.5</v>
      </c>
      <c r="G24" s="12" t="n">
        <v>1</v>
      </c>
    </row>
    <row r="25" customFormat="false" ht="15" hidden="false" customHeight="false" outlineLevel="0" collapsed="false">
      <c r="A25" s="2" t="s">
        <v>12</v>
      </c>
      <c r="B25" s="13" t="n">
        <f aca="false">SUM(B22:B24)</f>
        <v>159093</v>
      </c>
      <c r="G25" s="2" t="n">
        <f aca="false">SUM(G22:G24)</f>
        <v>4</v>
      </c>
      <c r="H25" s="2" t="str">
        <f aca="false">IF(G25=$B$2,"✔ suma = escaños","✘ revisar")</f>
        <v>✔ suma = escaños</v>
      </c>
    </row>
    <row r="27" customFormat="false" ht="15" hidden="false" customHeight="false" outlineLevel="0" collapsed="false">
      <c r="A27" s="2" t="s">
        <v>13</v>
      </c>
    </row>
    <row r="28" customFormat="false" ht="15" hidden="false" customHeight="false" outlineLevel="0" collapsed="false">
      <c r="A28" s="17" t="s">
        <v>14</v>
      </c>
      <c r="B28" s="17" t="s">
        <v>5</v>
      </c>
      <c r="C28" s="17" t="s">
        <v>15</v>
      </c>
      <c r="D28" s="17" t="s">
        <v>16</v>
      </c>
    </row>
    <row r="29" customFormat="false" ht="15" hidden="false" customHeight="false" outlineLevel="0" collapsed="false">
      <c r="A29" s="14" t="n">
        <v>1</v>
      </c>
      <c r="B29" s="12" t="s">
        <v>8</v>
      </c>
      <c r="C29" s="14" t="n">
        <v>1</v>
      </c>
      <c r="D29" s="15" t="n">
        <f aca="false">INDEX($B$22:$B$24,MATCH(B29,$A$22:$A$24,0))/C29</f>
        <v>65609</v>
      </c>
    </row>
    <row r="30" customFormat="false" ht="15" hidden="false" customHeight="false" outlineLevel="0" collapsed="false">
      <c r="A30" s="14" t="n">
        <v>2</v>
      </c>
      <c r="B30" s="12" t="s">
        <v>9</v>
      </c>
      <c r="C30" s="14" t="n">
        <v>1</v>
      </c>
      <c r="D30" s="15" t="n">
        <f aca="false">INDEX($B$22:$B$24,MATCH(B30,$A$22:$A$24,0))/C30</f>
        <v>62322</v>
      </c>
    </row>
    <row r="31" customFormat="false" ht="15" hidden="false" customHeight="false" outlineLevel="0" collapsed="false">
      <c r="A31" s="14" t="n">
        <v>3</v>
      </c>
      <c r="B31" s="12" t="s">
        <v>8</v>
      </c>
      <c r="C31" s="14" t="n">
        <v>2</v>
      </c>
      <c r="D31" s="15" t="n">
        <f aca="false">INDEX($B$22:$B$24,MATCH(B31,$A$22:$A$24,0))/C31</f>
        <v>32804.5</v>
      </c>
    </row>
    <row r="32" customFormat="false" ht="15" hidden="false" customHeight="false" outlineLevel="0" collapsed="false">
      <c r="A32" s="14" t="n">
        <v>4</v>
      </c>
      <c r="B32" s="12" t="s">
        <v>10</v>
      </c>
      <c r="C32" s="14" t="n">
        <v>1</v>
      </c>
      <c r="D32" s="15" t="n">
        <f aca="false">INDEX($B$22:$B$24,MATCH(B32,$A$22:$A$24,0))/C32</f>
        <v>31162</v>
      </c>
    </row>
    <row r="33" customFormat="false" ht="15" hidden="false" customHeight="false" outlineLevel="0" collapsed="false">
      <c r="A33" s="16" t="s">
        <v>17</v>
      </c>
      <c r="B33" s="12" t="s">
        <v>9</v>
      </c>
      <c r="C33" s="12" t="n">
        <v>2</v>
      </c>
      <c r="D33" s="11" t="n">
        <f aca="false">INDEX($B$22:$B$24,MATCH(B33,$A$22:$A$24,0))/C33</f>
        <v>31161</v>
      </c>
    </row>
    <row r="36" customFormat="false" ht="15" hidden="false" customHeight="false" outlineLevel="0" collapsed="false">
      <c r="A36" s="5" t="s">
        <v>19</v>
      </c>
    </row>
  </sheetData>
  <conditionalFormatting sqref="C7:F9">
    <cfRule type="expression" priority="2" aboveAverage="0" equalAverage="0" bottom="0" percent="0" rank="0" text="" dxfId="0">
      <formula>C$6&lt;=$G7</formula>
    </cfRule>
  </conditionalFormatting>
  <conditionalFormatting sqref="C22:F24">
    <cfRule type="expression" priority="3" aboveAverage="0" equalAverage="0" bottom="0" percent="0" rank="0" text="" dxfId="0">
      <formula>C$21&lt;=$G22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2026-10-16T13:08:15Z</dcterms:created>
  <dc:creator>openpyxl</dc:creator>
  <dc:description/>
  <dc:language>en-US</dc:language>
  <cp:lastModifiedBy/>
  <dcterms:modified xsi:type="dcterms:W3CDTF">2026-10-16T13:08:15Z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